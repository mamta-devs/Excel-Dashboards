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kmawa\Downloads\"/>
    </mc:Choice>
  </mc:AlternateContent>
  <xr:revisionPtr revIDLastSave="0" documentId="13_ncr:1_{B9A92E72-4421-44A8-B00A-D87E027037F6}" xr6:coauthVersionLast="47" xr6:coauthVersionMax="47" xr10:uidLastSave="{00000000-0000-0000-0000-000000000000}"/>
  <bookViews>
    <workbookView xWindow="-108" yWindow="-108" windowWidth="23256" windowHeight="12456" activeTab="3" xr2:uid="{2E32654B-98E0-4144-873D-39EEE5621A11}"/>
  </bookViews>
  <sheets>
    <sheet name="Raw DATA" sheetId="1" r:id="rId1"/>
    <sheet name="Clean Data" sheetId="2" r:id="rId2"/>
    <sheet name="Pivots" sheetId="3" r:id="rId3"/>
    <sheet name="Dashboard" sheetId="4" r:id="rId4"/>
    <sheet name="Queries" sheetId="5" r:id="rId5"/>
  </sheets>
  <definedNames>
    <definedName name="ExternalData_1" localSheetId="1" hidden="1">'Clean Data'!$A$1:$K$101</definedName>
    <definedName name="Slicer_Categories">#N/A</definedName>
    <definedName name="Slicer_Months__Date">#N/A</definedName>
    <definedName name="Slicer_Payment_Method">#N/A</definedName>
    <definedName name="Slicer_Product">#N/A</definedName>
    <definedName name="Slicer_Years__Date">#N/A</definedName>
  </definedNames>
  <calcPr calcId="191029"/>
  <pivotCaches>
    <pivotCache cacheId="21"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7" i="3" l="1"/>
  <c r="F12" i="3"/>
  <c r="D13" i="3"/>
  <c r="B9" i="3"/>
  <c r="B1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32F526-762B-45DB-B404-304BA96576E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<sst xmlns="http://schemas.openxmlformats.org/spreadsheetml/2006/main" count="1321" uniqueCount="563">
  <si>
    <t>Transaction ID</t>
  </si>
  <si>
    <t>Date</t>
  </si>
  <si>
    <t>First Name</t>
  </si>
  <si>
    <t>Last Name</t>
  </si>
  <si>
    <t>Product, Categories</t>
  </si>
  <si>
    <t>Quantity</t>
  </si>
  <si>
    <t>Price Per Unit</t>
  </si>
  <si>
    <t>Total Sales</t>
  </si>
  <si>
    <t>Ratings</t>
  </si>
  <si>
    <t>City</t>
  </si>
  <si>
    <t>Payment Method</t>
  </si>
  <si>
    <t>Status</t>
  </si>
  <si>
    <t>TXN-1001</t>
  </si>
  <si>
    <t xml:space="preserve">Margaret </t>
  </si>
  <si>
    <t>Robinson</t>
  </si>
  <si>
    <t>Laptop, Electronics</t>
  </si>
  <si>
    <t>Amberberg</t>
  </si>
  <si>
    <t>UPI</t>
  </si>
  <si>
    <t>TXN-1002</t>
  </si>
  <si>
    <t>Ann</t>
  </si>
  <si>
    <t>Kramer</t>
  </si>
  <si>
    <t>North Cory</t>
  </si>
  <si>
    <t>TXN-1003</t>
  </si>
  <si>
    <t>Alexander</t>
  </si>
  <si>
    <t>Young</t>
  </si>
  <si>
    <t>Headphones, Electronics</t>
  </si>
  <si>
    <t>Carolborough</t>
  </si>
  <si>
    <t>Debit Card</t>
  </si>
  <si>
    <t>TXN-1004</t>
  </si>
  <si>
    <t>Aaron</t>
  </si>
  <si>
    <t>Frank</t>
  </si>
  <si>
    <t>Smartwatch, Electronics</t>
  </si>
  <si>
    <t>West Sophia</t>
  </si>
  <si>
    <t>Credit Card</t>
  </si>
  <si>
    <t>TXN-1005</t>
  </si>
  <si>
    <t>Brian</t>
  </si>
  <si>
    <t>Grant</t>
  </si>
  <si>
    <t>Headphones, Accessories</t>
  </si>
  <si>
    <t>Parkborough</t>
  </si>
  <si>
    <t>TXN-1006</t>
  </si>
  <si>
    <t>Mary</t>
  </si>
  <si>
    <t>Briggs</t>
  </si>
  <si>
    <t>Weaverberg</t>
  </si>
  <si>
    <t>Lauren</t>
  </si>
  <si>
    <t>Ramos</t>
  </si>
  <si>
    <t>Smartphone, Electronics</t>
  </si>
  <si>
    <t>Port Nicholas</t>
  </si>
  <si>
    <t>TXN-1008</t>
  </si>
  <si>
    <t>Danielle</t>
  </si>
  <si>
    <t>Moore</t>
  </si>
  <si>
    <t>Port Tiffany</t>
  </si>
  <si>
    <t>TXN-1009</t>
  </si>
  <si>
    <t>Thomas</t>
  </si>
  <si>
    <t>Stein</t>
  </si>
  <si>
    <t>Tablet, Electronics</t>
  </si>
  <si>
    <t>Frankville</t>
  </si>
  <si>
    <t>TXN-1010</t>
  </si>
  <si>
    <t>Lowe</t>
  </si>
  <si>
    <t>Laptop, Accessories</t>
  </si>
  <si>
    <t>South Jacob</t>
  </si>
  <si>
    <t>TXN-1011</t>
  </si>
  <si>
    <t>Richard</t>
  </si>
  <si>
    <t>Ramirez</t>
  </si>
  <si>
    <t>New Nicholasport</t>
  </si>
  <si>
    <t>TXN-1012</t>
  </si>
  <si>
    <t>Michael</t>
  </si>
  <si>
    <t>Lester</t>
  </si>
  <si>
    <t>Smartphone, Accessories</t>
  </si>
  <si>
    <t>Taylorbury</t>
  </si>
  <si>
    <t>TXN-1013</t>
  </si>
  <si>
    <t>Amber</t>
  </si>
  <si>
    <t>Gilbert</t>
  </si>
  <si>
    <t>Smartwatch, Accessories</t>
  </si>
  <si>
    <t>West Tracyville</t>
  </si>
  <si>
    <t>TXN-1014</t>
  </si>
  <si>
    <t>Valerie</t>
  </si>
  <si>
    <t>Hendrix</t>
  </si>
  <si>
    <t>Port Julia</t>
  </si>
  <si>
    <t>TXN-1015</t>
  </si>
  <si>
    <t>Matthew</t>
  </si>
  <si>
    <t>Sosa</t>
  </si>
  <si>
    <t>Lake Anthony</t>
  </si>
  <si>
    <t>Dawn</t>
  </si>
  <si>
    <t>Allen</t>
  </si>
  <si>
    <t>Morganmouth</t>
  </si>
  <si>
    <t>TXN-1017</t>
  </si>
  <si>
    <t>Caroline</t>
  </si>
  <si>
    <t>Thornton</t>
  </si>
  <si>
    <t>Port Amanda</t>
  </si>
  <si>
    <t>TXN-1018</t>
  </si>
  <si>
    <t>Sara</t>
  </si>
  <si>
    <t>Anderson</t>
  </si>
  <si>
    <t>Lopezburgh</t>
  </si>
  <si>
    <t>TXN-1019</t>
  </si>
  <si>
    <t>Adam</t>
  </si>
  <si>
    <t>Bell</t>
  </si>
  <si>
    <t>Tablet, Accessories</t>
  </si>
  <si>
    <t>South Adam</t>
  </si>
  <si>
    <t>TXN-1020</t>
  </si>
  <si>
    <t>Charles</t>
  </si>
  <si>
    <t>Garcia</t>
  </si>
  <si>
    <t>Richardsonshire</t>
  </si>
  <si>
    <t>TXN-1021</t>
  </si>
  <si>
    <t>Douglas</t>
  </si>
  <si>
    <t>Brown</t>
  </si>
  <si>
    <t>East Davidshire</t>
  </si>
  <si>
    <t>TXN-1022</t>
  </si>
  <si>
    <t>Melissa</t>
  </si>
  <si>
    <t>Padilla</t>
  </si>
  <si>
    <t>Wellston</t>
  </si>
  <si>
    <t>Cameron</t>
  </si>
  <si>
    <t>Webermouth</t>
  </si>
  <si>
    <t>TXN-1024</t>
  </si>
  <si>
    <t>Miller</t>
  </si>
  <si>
    <t>West Johnland</t>
  </si>
  <si>
    <t>TXN-1025</t>
  </si>
  <si>
    <t>Eric</t>
  </si>
  <si>
    <t>Salazar</t>
  </si>
  <si>
    <t>Markbury</t>
  </si>
  <si>
    <t>Duane</t>
  </si>
  <si>
    <t>Mccormick</t>
  </si>
  <si>
    <t>New Tyroneview</t>
  </si>
  <si>
    <t>TXN-1027</t>
  </si>
  <si>
    <t>Robert</t>
  </si>
  <si>
    <t>Christian</t>
  </si>
  <si>
    <t>Amberstad</t>
  </si>
  <si>
    <t>TXN-1028</t>
  </si>
  <si>
    <t>John</t>
  </si>
  <si>
    <t>Mccullough</t>
  </si>
  <si>
    <t>Coryville</t>
  </si>
  <si>
    <t>Jessica</t>
  </si>
  <si>
    <t>Petty</t>
  </si>
  <si>
    <t>Lake Raymond</t>
  </si>
  <si>
    <t>TXN-1030</t>
  </si>
  <si>
    <t>David</t>
  </si>
  <si>
    <t>Jenkins</t>
  </si>
  <si>
    <t>New Mark</t>
  </si>
  <si>
    <t>TXN-1031</t>
  </si>
  <si>
    <t>Patrick</t>
  </si>
  <si>
    <t>Russell</t>
  </si>
  <si>
    <t>New Stephanieview</t>
  </si>
  <si>
    <t>TXN-1032</t>
  </si>
  <si>
    <t>Karen</t>
  </si>
  <si>
    <t>Jackson</t>
  </si>
  <si>
    <t>Thomasborough</t>
  </si>
  <si>
    <t>TXN-1033</t>
  </si>
  <si>
    <t>William</t>
  </si>
  <si>
    <t>Walker</t>
  </si>
  <si>
    <t>New Haileybury</t>
  </si>
  <si>
    <t>TXN-1034</t>
  </si>
  <si>
    <t>Marie</t>
  </si>
  <si>
    <t>Dougherty</t>
  </si>
  <si>
    <t>North Stephaniestad</t>
  </si>
  <si>
    <t>TXN-1035</t>
  </si>
  <si>
    <t>Jonathan</t>
  </si>
  <si>
    <t>Conrad</t>
  </si>
  <si>
    <t>Port Sethmouth</t>
  </si>
  <si>
    <t>TXN-1036</t>
  </si>
  <si>
    <t>Natalie</t>
  </si>
  <si>
    <t>Reed</t>
  </si>
  <si>
    <t>North Anthonybury</t>
  </si>
  <si>
    <t>Lori</t>
  </si>
  <si>
    <t>Myers</t>
  </si>
  <si>
    <t>New Elizabeth</t>
  </si>
  <si>
    <t>TXN-1038</t>
  </si>
  <si>
    <t>Jeffrey</t>
  </si>
  <si>
    <t>Walton</t>
  </si>
  <si>
    <t>Bryanland</t>
  </si>
  <si>
    <t>TXN-1039</t>
  </si>
  <si>
    <t>Shelley</t>
  </si>
  <si>
    <t>Rivers</t>
  </si>
  <si>
    <t>Lake Brian</t>
  </si>
  <si>
    <t>Mr</t>
  </si>
  <si>
    <t>Baker</t>
  </si>
  <si>
    <t>South Lauraside</t>
  </si>
  <si>
    <t>TXN-1041</t>
  </si>
  <si>
    <t>Mia</t>
  </si>
  <si>
    <t>Eaton</t>
  </si>
  <si>
    <t>Nathanland</t>
  </si>
  <si>
    <t>TXN-1042</t>
  </si>
  <si>
    <t>Stephanie</t>
  </si>
  <si>
    <t>Yoder</t>
  </si>
  <si>
    <t>Anthonyhaven</t>
  </si>
  <si>
    <t>TXN-1043</t>
  </si>
  <si>
    <t>Ramsey</t>
  </si>
  <si>
    <t>Port Brookeborough</t>
  </si>
  <si>
    <t>TXN-1044</t>
  </si>
  <si>
    <t>Bishop</t>
  </si>
  <si>
    <t>South Elizabethside</t>
  </si>
  <si>
    <t>TXN-1045</t>
  </si>
  <si>
    <t>Maynard</t>
  </si>
  <si>
    <t>East Thomas</t>
  </si>
  <si>
    <t>Shari</t>
  </si>
  <si>
    <t>Thompson</t>
  </si>
  <si>
    <t>Shepherdport</t>
  </si>
  <si>
    <t>Luke</t>
  </si>
  <si>
    <t>Turner</t>
  </si>
  <si>
    <t>West Danafort</t>
  </si>
  <si>
    <t>TXN-1048</t>
  </si>
  <si>
    <t>Mrs</t>
  </si>
  <si>
    <t>Potter</t>
  </si>
  <si>
    <t>Port Cory</t>
  </si>
  <si>
    <t>TXN-1049</t>
  </si>
  <si>
    <t>Philip</t>
  </si>
  <si>
    <t>Cline</t>
  </si>
  <si>
    <t>Alexandershire</t>
  </si>
  <si>
    <t>TXN-1050</t>
  </si>
  <si>
    <t>Linda</t>
  </si>
  <si>
    <t>Barton</t>
  </si>
  <si>
    <t>South Rachelton</t>
  </si>
  <si>
    <t>TXN-1051</t>
  </si>
  <si>
    <t>Rachel</t>
  </si>
  <si>
    <t>Mcpherson</t>
  </si>
  <si>
    <t>New Vanessa</t>
  </si>
  <si>
    <t>TXN-1052</t>
  </si>
  <si>
    <t>Sydney</t>
  </si>
  <si>
    <t>Haney</t>
  </si>
  <si>
    <t>Kyleberg</t>
  </si>
  <si>
    <t>TXN-1053</t>
  </si>
  <si>
    <t>Rebecca</t>
  </si>
  <si>
    <t>Wise</t>
  </si>
  <si>
    <t>Baileyfort</t>
  </si>
  <si>
    <t>TXN-1054</t>
  </si>
  <si>
    <t>Barnett</t>
  </si>
  <si>
    <t>Angelaport</t>
  </si>
  <si>
    <t>TXN-1055</t>
  </si>
  <si>
    <t>Kevin</t>
  </si>
  <si>
    <t>Morris</t>
  </si>
  <si>
    <t>West Rachaelburgh</t>
  </si>
  <si>
    <t>Vanessa</t>
  </si>
  <si>
    <t>Mcdonald</t>
  </si>
  <si>
    <t>North Jeffreyville</t>
  </si>
  <si>
    <t>TXN-1057</t>
  </si>
  <si>
    <t>Lisa</t>
  </si>
  <si>
    <t>Aguilar</t>
  </si>
  <si>
    <t>Eduardomouth</t>
  </si>
  <si>
    <t>Chung</t>
  </si>
  <si>
    <t>North Williamside</t>
  </si>
  <si>
    <t>TXN-1059</t>
  </si>
  <si>
    <t>Daniel</t>
  </si>
  <si>
    <t>Banks</t>
  </si>
  <si>
    <t>Lake Kathytown</t>
  </si>
  <si>
    <t>Smith</t>
  </si>
  <si>
    <t>Port Barbara</t>
  </si>
  <si>
    <t>TXN-1061</t>
  </si>
  <si>
    <t>Abigail</t>
  </si>
  <si>
    <t>Rodriguez</t>
  </si>
  <si>
    <t>New Christineport</t>
  </si>
  <si>
    <t>TXN-1062</t>
  </si>
  <si>
    <t>Maria</t>
  </si>
  <si>
    <t>Figueroa</t>
  </si>
  <si>
    <t>Allisonhaven</t>
  </si>
  <si>
    <t>Patterson</t>
  </si>
  <si>
    <t>Kristinmouth</t>
  </si>
  <si>
    <t>Larry</t>
  </si>
  <si>
    <t>Rogers</t>
  </si>
  <si>
    <t>South Susanside</t>
  </si>
  <si>
    <t>TXN-1065</t>
  </si>
  <si>
    <t>Michelle</t>
  </si>
  <si>
    <t>Hayes</t>
  </si>
  <si>
    <t>North Stephanieland</t>
  </si>
  <si>
    <t>TXN-1066</t>
  </si>
  <si>
    <t>Amanda</t>
  </si>
  <si>
    <t>New Meganfort</t>
  </si>
  <si>
    <t>TXN-1067</t>
  </si>
  <si>
    <t>Taylor</t>
  </si>
  <si>
    <t>Martinezland</t>
  </si>
  <si>
    <t>Barbara</t>
  </si>
  <si>
    <t>Mills</t>
  </si>
  <si>
    <t>Millertown</t>
  </si>
  <si>
    <t>Bryan</t>
  </si>
  <si>
    <t>Perez</t>
  </si>
  <si>
    <t>West Matthew</t>
  </si>
  <si>
    <t>TXN-1070</t>
  </si>
  <si>
    <t>Bates</t>
  </si>
  <si>
    <t>Powellport</t>
  </si>
  <si>
    <t>TXN-1071</t>
  </si>
  <si>
    <t>Shawn</t>
  </si>
  <si>
    <t>Guzman</t>
  </si>
  <si>
    <t>Smithside</t>
  </si>
  <si>
    <t>TXN-1072</t>
  </si>
  <si>
    <t>Contreras</t>
  </si>
  <si>
    <t>North Brentbury</t>
  </si>
  <si>
    <t>TXN-1073</t>
  </si>
  <si>
    <t>Rick</t>
  </si>
  <si>
    <t>Lopez</t>
  </si>
  <si>
    <t>Rossburgh</t>
  </si>
  <si>
    <t>TXN-1074</t>
  </si>
  <si>
    <t>Bartlett</t>
  </si>
  <si>
    <t>Port Dustin</t>
  </si>
  <si>
    <t>Donald</t>
  </si>
  <si>
    <t>Parker</t>
  </si>
  <si>
    <t>Lake Anthonymouth</t>
  </si>
  <si>
    <t>TXN-1076</t>
  </si>
  <si>
    <t>Nicholas</t>
  </si>
  <si>
    <t>Avery</t>
  </si>
  <si>
    <t>Johnsonberg</t>
  </si>
  <si>
    <t>TXN-1077</t>
  </si>
  <si>
    <t>Giles</t>
  </si>
  <si>
    <t>Goodmanview</t>
  </si>
  <si>
    <t>TXN-1078</t>
  </si>
  <si>
    <t>Harris</t>
  </si>
  <si>
    <t>Christineberg</t>
  </si>
  <si>
    <t>TXN-1079</t>
  </si>
  <si>
    <t>Shannon</t>
  </si>
  <si>
    <t>MD</t>
  </si>
  <si>
    <t>Port Rodneyville</t>
  </si>
  <si>
    <t>TXN-1080</t>
  </si>
  <si>
    <t>Christopher</t>
  </si>
  <si>
    <t>Hunter</t>
  </si>
  <si>
    <t>South Judy</t>
  </si>
  <si>
    <t>TXN-1081</t>
  </si>
  <si>
    <t>Jennifer</t>
  </si>
  <si>
    <t>Martinez</t>
  </si>
  <si>
    <t>North Betty</t>
  </si>
  <si>
    <t>TXN-1082</t>
  </si>
  <si>
    <t>Watson</t>
  </si>
  <si>
    <t>Garretttown</t>
  </si>
  <si>
    <t>TXN-1083</t>
  </si>
  <si>
    <t>Latasha</t>
  </si>
  <si>
    <t>Hoover</t>
  </si>
  <si>
    <t>North Linda</t>
  </si>
  <si>
    <t>TXN-1084</t>
  </si>
  <si>
    <t>Rice</t>
  </si>
  <si>
    <t>Millerfurt</t>
  </si>
  <si>
    <t>TXN-1085</t>
  </si>
  <si>
    <t>Paul</t>
  </si>
  <si>
    <t>Green</t>
  </si>
  <si>
    <t>Adamsbury</t>
  </si>
  <si>
    <t>TXN-1086</t>
  </si>
  <si>
    <t>Port Julie</t>
  </si>
  <si>
    <t>TXN-1087</t>
  </si>
  <si>
    <t>Heather</t>
  </si>
  <si>
    <t>Peterson</t>
  </si>
  <si>
    <t>North Elizabeth</t>
  </si>
  <si>
    <t>TXN-1088</t>
  </si>
  <si>
    <t>Robinsonmouth</t>
  </si>
  <si>
    <t>TXN-1089</t>
  </si>
  <si>
    <t>James</t>
  </si>
  <si>
    <t>Ambertown</t>
  </si>
  <si>
    <t>TXN-1090</t>
  </si>
  <si>
    <t>Luis</t>
  </si>
  <si>
    <t>New Alexis</t>
  </si>
  <si>
    <t>TXN-1091</t>
  </si>
  <si>
    <t>Dustin</t>
  </si>
  <si>
    <t>Buck</t>
  </si>
  <si>
    <t>North Wandaside</t>
  </si>
  <si>
    <t>Kelly</t>
  </si>
  <si>
    <t>Walls</t>
  </si>
  <si>
    <t>North Marthamouth</t>
  </si>
  <si>
    <t>TXN-1093</t>
  </si>
  <si>
    <t>Jon</t>
  </si>
  <si>
    <t>Rowe</t>
  </si>
  <si>
    <t>Jackmouth</t>
  </si>
  <si>
    <t>TXN-1094</t>
  </si>
  <si>
    <t>Sherri</t>
  </si>
  <si>
    <t>Li</t>
  </si>
  <si>
    <t>North Erinchester</t>
  </si>
  <si>
    <t>TXN-1095</t>
  </si>
  <si>
    <t>Lake Bradley</t>
  </si>
  <si>
    <t>TXN-1096</t>
  </si>
  <si>
    <t>Joseph</t>
  </si>
  <si>
    <t>Patrickbury</t>
  </si>
  <si>
    <t>DDS</t>
  </si>
  <si>
    <t>North Ericport</t>
  </si>
  <si>
    <t>TXN-1098</t>
  </si>
  <si>
    <t>Joshua</t>
  </si>
  <si>
    <t>Fox</t>
  </si>
  <si>
    <t>New Andrew</t>
  </si>
  <si>
    <t>TXN-1099</t>
  </si>
  <si>
    <t>Dennis</t>
  </si>
  <si>
    <t>Mann</t>
  </si>
  <si>
    <t>Hunterbury</t>
  </si>
  <si>
    <t>Stewart</t>
  </si>
  <si>
    <t>Rachelfort</t>
  </si>
  <si>
    <t>TXN-1007</t>
  </si>
  <si>
    <t>TXN-1016</t>
  </si>
  <si>
    <t>TXN-1023</t>
  </si>
  <si>
    <t>TXN-1026</t>
  </si>
  <si>
    <t>TXN-1029</t>
  </si>
  <si>
    <t>TXN-1037</t>
  </si>
  <si>
    <t>TXN-1040</t>
  </si>
  <si>
    <t>TXN-1046</t>
  </si>
  <si>
    <t>TXN-1056</t>
  </si>
  <si>
    <t>TXN-1058</t>
  </si>
  <si>
    <t>TXN-1047</t>
  </si>
  <si>
    <t>TXN-1068</t>
  </si>
  <si>
    <t>TXN-1069</t>
  </si>
  <si>
    <t>TXN-1075</t>
  </si>
  <si>
    <t>TXN-1092</t>
  </si>
  <si>
    <t>TXN-1097</t>
  </si>
  <si>
    <t>TXN-1100</t>
  </si>
  <si>
    <t>TXN-1064</t>
  </si>
  <si>
    <t>TXN-1063</t>
  </si>
  <si>
    <t>TXN-1060</t>
  </si>
  <si>
    <t>Full Name</t>
  </si>
  <si>
    <t>Product</t>
  </si>
  <si>
    <t>Categories</t>
  </si>
  <si>
    <t>Margaret  Robinson</t>
  </si>
  <si>
    <t>Laptop</t>
  </si>
  <si>
    <t xml:space="preserve"> Electronics</t>
  </si>
  <si>
    <t>Ann Kramer</t>
  </si>
  <si>
    <t>Alexander Young</t>
  </si>
  <si>
    <t>Headphones</t>
  </si>
  <si>
    <t>Aaron Frank</t>
  </si>
  <si>
    <t>Smartwatch</t>
  </si>
  <si>
    <t>Brian Grant</t>
  </si>
  <si>
    <t xml:space="preserve"> Accessories</t>
  </si>
  <si>
    <t>Mary Briggs</t>
  </si>
  <si>
    <t>Lauren Ramos</t>
  </si>
  <si>
    <t>Smartphone</t>
  </si>
  <si>
    <t>Cash</t>
  </si>
  <si>
    <t>Danielle Moore</t>
  </si>
  <si>
    <t>Thomas Stein</t>
  </si>
  <si>
    <t>Tablet</t>
  </si>
  <si>
    <t>Aaron Lowe</t>
  </si>
  <si>
    <t>Richard Ramirez</t>
  </si>
  <si>
    <t>Michael Lester</t>
  </si>
  <si>
    <t>Amber Gilbert</t>
  </si>
  <si>
    <t>Valerie Hendrix</t>
  </si>
  <si>
    <t>Matthew Sosa</t>
  </si>
  <si>
    <t>Dawn Allen</t>
  </si>
  <si>
    <t>Caroline Thornton</t>
  </si>
  <si>
    <t>Sara Anderson</t>
  </si>
  <si>
    <t>Adam Bell</t>
  </si>
  <si>
    <t>Charles Garcia</t>
  </si>
  <si>
    <t>Douglas Brown</t>
  </si>
  <si>
    <t>Melissa Padilla</t>
  </si>
  <si>
    <t>Thomas Cameron</t>
  </si>
  <si>
    <t>Michael Miller</t>
  </si>
  <si>
    <t>Eric Salazar</t>
  </si>
  <si>
    <t>Duane Mccormick</t>
  </si>
  <si>
    <t>Robert Christian</t>
  </si>
  <si>
    <t>John Mccullough</t>
  </si>
  <si>
    <t>Jessica Petty</t>
  </si>
  <si>
    <t>David Jenkins</t>
  </si>
  <si>
    <t>Patrick Russell</t>
  </si>
  <si>
    <t>Karen Jackson</t>
  </si>
  <si>
    <t>William Walker</t>
  </si>
  <si>
    <t>Marie Dougherty</t>
  </si>
  <si>
    <t>Jonathan Conrad</t>
  </si>
  <si>
    <t>Natalie Reed</t>
  </si>
  <si>
    <t>Lori Myers</t>
  </si>
  <si>
    <t>Jeffrey Walton</t>
  </si>
  <si>
    <t>Shelley Rivers</t>
  </si>
  <si>
    <t>Mr Baker</t>
  </si>
  <si>
    <t>Mia Eaton</t>
  </si>
  <si>
    <t>Stephanie Yoder</t>
  </si>
  <si>
    <t>David Ramsey</t>
  </si>
  <si>
    <t>Patrick Bishop</t>
  </si>
  <si>
    <t>Matthew Maynard</t>
  </si>
  <si>
    <t>Shari Thompson</t>
  </si>
  <si>
    <t>Luke Turner</t>
  </si>
  <si>
    <t>Mrs Potter</t>
  </si>
  <si>
    <t>Philip Cline</t>
  </si>
  <si>
    <t>Linda Barton</t>
  </si>
  <si>
    <t>Rachel Mcpherson</t>
  </si>
  <si>
    <t>Sydney Haney</t>
  </si>
  <si>
    <t>Rebecca Wise</t>
  </si>
  <si>
    <t>Brian Barnett</t>
  </si>
  <si>
    <t>Kevin Morris</t>
  </si>
  <si>
    <t>Vanessa Mcdonald</t>
  </si>
  <si>
    <t>Lisa Aguilar</t>
  </si>
  <si>
    <t>Christian Chung</t>
  </si>
  <si>
    <t>Daniel Banks</t>
  </si>
  <si>
    <t>Michael Smith</t>
  </si>
  <si>
    <t>Abigail Rodriguez</t>
  </si>
  <si>
    <t>Maria Figueroa</t>
  </si>
  <si>
    <t>Rebecca Patterson</t>
  </si>
  <si>
    <t>Larry Rogers</t>
  </si>
  <si>
    <t>Michelle Hayes</t>
  </si>
  <si>
    <t>Amanda Smith</t>
  </si>
  <si>
    <t>William Taylor</t>
  </si>
  <si>
    <t>Barbara Mills</t>
  </si>
  <si>
    <t>Bryan Perez</t>
  </si>
  <si>
    <t>John Bates</t>
  </si>
  <si>
    <t>Shawn Guzman</t>
  </si>
  <si>
    <t>Thomas Contreras</t>
  </si>
  <si>
    <t>Rick Lopez</t>
  </si>
  <si>
    <t>Taylor Bartlett</t>
  </si>
  <si>
    <t>Donald Parker</t>
  </si>
  <si>
    <t>Nicholas Avery</t>
  </si>
  <si>
    <t>Robert Giles</t>
  </si>
  <si>
    <t>Frank Harris</t>
  </si>
  <si>
    <t>Shannon MD</t>
  </si>
  <si>
    <t>Christopher Hunter</t>
  </si>
  <si>
    <t>Jennifer Martinez</t>
  </si>
  <si>
    <t>Amanda Watson</t>
  </si>
  <si>
    <t>Latasha Hoover</t>
  </si>
  <si>
    <t>Linda Rice</t>
  </si>
  <si>
    <t>Paul Green</t>
  </si>
  <si>
    <t>Daniel Grant</t>
  </si>
  <si>
    <t>Heather Peterson</t>
  </si>
  <si>
    <t>Amber Contreras</t>
  </si>
  <si>
    <t>James Walton</t>
  </si>
  <si>
    <t>Luis Brown</t>
  </si>
  <si>
    <t>Dustin Buck</t>
  </si>
  <si>
    <t>Kelly Walls</t>
  </si>
  <si>
    <t>Jon Rowe</t>
  </si>
  <si>
    <t>Sherri Li</t>
  </si>
  <si>
    <t>Paul Moore</t>
  </si>
  <si>
    <t>Joseph Young</t>
  </si>
  <si>
    <t>John DDS</t>
  </si>
  <si>
    <t>Joshua Fox</t>
  </si>
  <si>
    <t>Dennis Mann</t>
  </si>
  <si>
    <t>David Stewart</t>
  </si>
  <si>
    <t>Row Labels</t>
  </si>
  <si>
    <t>Grand Total</t>
  </si>
  <si>
    <t>Sum of Quantity</t>
  </si>
  <si>
    <t>Sum of Total Sales</t>
  </si>
  <si>
    <t>Count of Ratings</t>
  </si>
  <si>
    <t>Top 10 cities</t>
  </si>
  <si>
    <t>Count of Total Sales</t>
  </si>
  <si>
    <t>Total Sale</t>
  </si>
  <si>
    <t>Total Quantity</t>
  </si>
  <si>
    <t>KPI Cards</t>
  </si>
  <si>
    <t>Total Orders</t>
  </si>
  <si>
    <t>Average Order Value</t>
  </si>
  <si>
    <t>Total Quantity Sold</t>
  </si>
  <si>
    <t>Average Customer Rating</t>
  </si>
  <si>
    <t>Charts</t>
  </si>
  <si>
    <t>Sales by Product</t>
  </si>
  <si>
    <t>Sales by Category</t>
  </si>
  <si>
    <t>Sales by Payment Mode</t>
  </si>
  <si>
    <t>Monthly Sales Trend</t>
  </si>
  <si>
    <t>Top 10 Cities by Sales</t>
  </si>
  <si>
    <t>Rating Distribution</t>
  </si>
  <si>
    <t>Quantity Sold by Product</t>
  </si>
  <si>
    <t>Product-wise Order Count</t>
  </si>
  <si>
    <t>Slicers</t>
  </si>
  <si>
    <t>Category</t>
  </si>
  <si>
    <t>Payment Mode</t>
  </si>
  <si>
    <t>Excel Formulas Practice</t>
  </si>
  <si>
    <t>SUM()</t>
  </si>
  <si>
    <t>SUMIFS()</t>
  </si>
  <si>
    <t>COUNTIFS()</t>
  </si>
  <si>
    <t>AVERAGEIFS()</t>
  </si>
  <si>
    <t>XLOOKUP()</t>
  </si>
  <si>
    <t>IF()</t>
  </si>
  <si>
    <t>TEXT()</t>
  </si>
  <si>
    <t>MONTH()</t>
  </si>
  <si>
    <t>YEAR()</t>
  </si>
  <si>
    <t>Power Query Practice</t>
  </si>
  <si>
    <t>Date → Month Name</t>
  </si>
  <si>
    <t>Date → Quarter</t>
  </si>
  <si>
    <t>Date → Year</t>
  </si>
  <si>
    <t>Profit column (agar percentage assume karna ho)</t>
  </si>
  <si>
    <t>Discount column</t>
  </si>
  <si>
    <t>Month-Year column</t>
  </si>
  <si>
    <t>Quries</t>
  </si>
  <si>
    <t>Jan</t>
  </si>
  <si>
    <t>Feb</t>
  </si>
  <si>
    <t>Mar</t>
  </si>
  <si>
    <t>Apr</t>
  </si>
  <si>
    <t>May</t>
  </si>
  <si>
    <t>Jun</t>
  </si>
  <si>
    <t>Jul</t>
  </si>
  <si>
    <t>Aug</t>
  </si>
  <si>
    <t>Sep</t>
  </si>
  <si>
    <t>Oct</t>
  </si>
  <si>
    <t>Nov</t>
  </si>
  <si>
    <t>Dec</t>
  </si>
  <si>
    <t>Interactive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</si>
</sst>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font>
      <sz val="11"/>
      <color theme="1"/>
      <name val="Mangal"/>
      <family val="2"/>
      <scheme val="minor"/>
    </font>
    <font>
      <sz val="11"/>
      <color theme="0"/>
      <name val="Mangal"/>
      <family val="2"/>
      <scheme val="minor"/>
    </font>
    <font>
      <b/>
      <sz val="11"/>
      <color theme="1"/>
      <name val="Mangal"/>
      <family val="1"/>
      <scheme val="minor"/>
    </font>
    <font>
      <b/>
      <sz val="13.5"/>
      <color theme="1"/>
      <name val="Mangal"/>
      <family val="2"/>
      <scheme val="minor"/>
    </font>
    <font>
      <sz val="10"/>
      <color theme="1"/>
      <name val="Arial Unicode MS"/>
    </font>
    <font>
      <b/>
      <sz val="16"/>
      <color theme="1"/>
      <name val="Mangal"/>
      <family val="1"/>
      <scheme val="minor"/>
    </font>
    <font>
      <b/>
      <sz val="11"/>
      <color theme="0"/>
      <name val="Mangal"/>
      <family val="1"/>
      <scheme val="minor"/>
    </font>
    <font>
      <b/>
      <sz val="12"/>
      <color theme="0"/>
      <name val="Arial Rounded MT Bold"/>
      <family val="2"/>
    </font>
    <font>
      <sz val="11"/>
      <color theme="0"/>
      <name val="Britannic Bold"/>
      <family val="2"/>
    </font>
    <font>
      <sz val="36"/>
      <color theme="0"/>
      <name val="Cooper Black"/>
      <family val="1"/>
    </font>
  </fonts>
  <fills count="5">
    <fill>
      <patternFill patternType="none"/>
    </fill>
    <fill>
      <patternFill patternType="gray125"/>
    </fill>
    <fill>
      <patternFill patternType="solid">
        <fgColor theme="1"/>
        <bgColor indexed="64"/>
      </patternFill>
    </fill>
    <fill>
      <patternFill patternType="solid">
        <fgColor theme="3" tint="0.499984740745262"/>
        <bgColor indexed="64"/>
      </patternFill>
    </fill>
    <fill>
      <patternFill patternType="solid">
        <fgColor theme="5"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0" fillId="0" borderId="0" xfId="0" applyAlignment="1">
      <alignment horizontal="left" vertical="top"/>
    </xf>
    <xf numFmtId="0" fontId="0" fillId="0" borderId="0" xfId="0" applyAlignment="1">
      <alignment horizontal="left"/>
    </xf>
    <xf numFmtId="164" fontId="0" fillId="0" borderId="0" xfId="0" applyNumberFormat="1"/>
    <xf numFmtId="0" fontId="0" fillId="0" borderId="0" xfId="0" applyNumberFormat="1"/>
    <xf numFmtId="14" fontId="0" fillId="0" borderId="0" xfId="0" applyNumberFormat="1"/>
    <xf numFmtId="0" fontId="0" fillId="0" borderId="0" xfId="0" pivotButton="1"/>
    <xf numFmtId="1" fontId="0" fillId="0" borderId="0" xfId="0" applyNumberFormat="1"/>
    <xf numFmtId="0" fontId="1" fillId="2" borderId="0" xfId="0" applyFont="1" applyFill="1"/>
    <xf numFmtId="0" fontId="0" fillId="0" borderId="1" xfId="0" applyBorder="1" applyAlignment="1">
      <alignment horizontal="center"/>
    </xf>
    <xf numFmtId="0" fontId="2" fillId="0" borderId="1" xfId="0" applyFont="1" applyBorder="1" applyAlignment="1">
      <alignment horizontal="center"/>
    </xf>
    <xf numFmtId="0" fontId="1" fillId="2" borderId="0" xfId="0" applyFont="1" applyFill="1" applyAlignment="1">
      <alignment horizontal="center"/>
    </xf>
    <xf numFmtId="0" fontId="0" fillId="0" borderId="0" xfId="0" applyAlignment="1">
      <alignment vertical="center"/>
    </xf>
    <xf numFmtId="0" fontId="3" fillId="0" borderId="0" xfId="0" applyFont="1" applyAlignment="1">
      <alignment vertical="center"/>
    </xf>
    <xf numFmtId="0" fontId="0" fillId="0" borderId="0" xfId="0" applyAlignment="1">
      <alignment horizontal="left" vertical="center" indent="1"/>
    </xf>
    <xf numFmtId="0" fontId="4" fillId="0" borderId="0" xfId="0" applyFont="1" applyAlignment="1">
      <alignment horizontal="left" vertical="center" indent="1"/>
    </xf>
    <xf numFmtId="0" fontId="4" fillId="0" borderId="0" xfId="0" applyFont="1" applyAlignment="1">
      <alignment vertical="center"/>
    </xf>
    <xf numFmtId="0" fontId="5" fillId="3" borderId="0" xfId="0" applyFont="1" applyFill="1" applyAlignment="1">
      <alignment horizontal="center"/>
    </xf>
    <xf numFmtId="0" fontId="6" fillId="2" borderId="0" xfId="0" applyFont="1" applyFill="1"/>
    <xf numFmtId="0" fontId="6" fillId="2" borderId="0" xfId="0" applyFont="1" applyFill="1" applyAlignment="1">
      <alignment horizontal="center"/>
    </xf>
    <xf numFmtId="0" fontId="7" fillId="2" borderId="0" xfId="0" applyFont="1" applyFill="1" applyAlignment="1">
      <alignment horizontal="center"/>
    </xf>
    <xf numFmtId="0" fontId="7" fillId="2" borderId="0" xfId="0" applyFont="1" applyFill="1"/>
    <xf numFmtId="1" fontId="6" fillId="2" borderId="0" xfId="0" applyNumberFormat="1" applyFont="1" applyFill="1"/>
    <xf numFmtId="0" fontId="8" fillId="2" borderId="0" xfId="0" applyFont="1" applyFill="1"/>
    <xf numFmtId="0" fontId="9" fillId="4" borderId="0" xfId="0" applyFont="1" applyFill="1" applyAlignment="1">
      <alignment horizontal="center"/>
    </xf>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alignment horizontal="left" vertical="top" textRotation="0" wrapText="0" indent="0" justifyLastLine="0" shrinkToFit="0" readingOrder="0"/>
    </dxf>
    <dxf>
      <numFmt numFmtId="164" formatCode="yyyy\-mm\-dd"/>
    </dxf>
  </dxfs>
  <tableStyles count="0" defaultTableStyle="TableStyleMedium2" defaultPivotStyle="PivotStyleLight16"/>
  <colors>
    <mruColors>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microsoft.com/office/2007/relationships/slicerCache" Target="slicerCaches/slicerCache1.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19" Type="http://schemas.microsoft.com/office/2017/06/relationships/rdRichValueTypes" Target="richData/rdRichValueTypes.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 Sales_Data_Working.xlsx]Pivots!Sales by Cetegories</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hi-IN" sz="1400" b="0" i="0" u="none" strike="noStrike" baseline="0">
                <a:solidFill>
                  <a:schemeClr val="bg1"/>
                </a:solidFill>
                <a:effectLst/>
              </a:rPr>
              <a:t>Sales by Category </a:t>
            </a:r>
            <a:endParaRPr lang="en-US">
              <a:solidFill>
                <a:schemeClr val="bg1"/>
              </a:solidFill>
            </a:endParaRPr>
          </a:p>
        </c:rich>
      </c:tx>
      <c:layout>
        <c:manualLayout>
          <c:xMode val="edge"/>
          <c:yMode val="edge"/>
          <c:x val="0.152775530566566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hi-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3C-4BBA-8A9B-C62D6C883B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3C-4BBA-8A9B-C62D6C883BA4}"/>
              </c:ext>
            </c:extLst>
          </c:dPt>
          <c:cat>
            <c:strRef>
              <c:f>Pivots!$A$4:$A$6</c:f>
              <c:strCache>
                <c:ptCount val="2"/>
                <c:pt idx="0">
                  <c:v> Accessories</c:v>
                </c:pt>
                <c:pt idx="1">
                  <c:v> Electronics</c:v>
                </c:pt>
              </c:strCache>
            </c:strRef>
          </c:cat>
          <c:val>
            <c:numRef>
              <c:f>Pivots!$B$4:$B$6</c:f>
              <c:numCache>
                <c:formatCode>General</c:formatCode>
                <c:ptCount val="2"/>
                <c:pt idx="0">
                  <c:v>3340471</c:v>
                </c:pt>
                <c:pt idx="1">
                  <c:v>5794395</c:v>
                </c:pt>
              </c:numCache>
            </c:numRef>
          </c:val>
          <c:extLst>
            <c:ext xmlns:c16="http://schemas.microsoft.com/office/drawing/2014/chart" uri="{C3380CC4-5D6E-409C-BE32-E72D297353CC}">
              <c16:uniqueId val="{00000004-2B3C-4BBA-8A9B-C62D6C883BA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lumMod val="2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 Sales_Data_Working.xlsx]Pivots!Sales By Products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i-IN" sz="1400" b="0" i="0" u="none" strike="noStrike" baseline="0">
                <a:solidFill>
                  <a:schemeClr val="bg1"/>
                </a:solidFill>
                <a:effectLst/>
              </a:rPr>
              <a:t>Sales by Product</a:t>
            </a:r>
            <a:r>
              <a:rPr lang="hi-IN"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i-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Pivots!$E$3</c:f>
              <c:strCache>
                <c:ptCount val="1"/>
                <c:pt idx="0">
                  <c:v>Total</c:v>
                </c:pt>
              </c:strCache>
            </c:strRef>
          </c:tx>
          <c:spPr>
            <a:solidFill>
              <a:schemeClr val="accent1"/>
            </a:solidFill>
            <a:ln>
              <a:noFill/>
            </a:ln>
            <a:effectLst/>
          </c:spPr>
          <c:invertIfNegative val="0"/>
          <c:cat>
            <c:strRef>
              <c:f>Pivots!$D$4:$D$9</c:f>
              <c:strCache>
                <c:ptCount val="5"/>
                <c:pt idx="0">
                  <c:v>Headphones</c:v>
                </c:pt>
                <c:pt idx="1">
                  <c:v>Laptop</c:v>
                </c:pt>
                <c:pt idx="2">
                  <c:v>Smartphone</c:v>
                </c:pt>
                <c:pt idx="3">
                  <c:v>Smartwatch</c:v>
                </c:pt>
                <c:pt idx="4">
                  <c:v>Tablet</c:v>
                </c:pt>
              </c:strCache>
            </c:strRef>
          </c:cat>
          <c:val>
            <c:numRef>
              <c:f>Pivots!$E$4:$E$9</c:f>
              <c:numCache>
                <c:formatCode>General</c:formatCode>
                <c:ptCount val="5"/>
                <c:pt idx="0">
                  <c:v>2494315</c:v>
                </c:pt>
                <c:pt idx="1">
                  <c:v>2183136</c:v>
                </c:pt>
                <c:pt idx="2">
                  <c:v>1568912</c:v>
                </c:pt>
                <c:pt idx="3">
                  <c:v>1139614</c:v>
                </c:pt>
                <c:pt idx="4">
                  <c:v>1748889</c:v>
                </c:pt>
              </c:numCache>
            </c:numRef>
          </c:val>
          <c:extLst>
            <c:ext xmlns:c16="http://schemas.microsoft.com/office/drawing/2014/chart" uri="{C3380CC4-5D6E-409C-BE32-E72D297353CC}">
              <c16:uniqueId val="{00000000-CA05-496D-BB14-348EA666D3A5}"/>
            </c:ext>
          </c:extLst>
        </c:ser>
        <c:dLbls>
          <c:showLegendKey val="0"/>
          <c:showVal val="0"/>
          <c:showCatName val="0"/>
          <c:showSerName val="0"/>
          <c:showPercent val="0"/>
          <c:showBubbleSize val="0"/>
        </c:dLbls>
        <c:gapWidth val="219"/>
        <c:overlap val="-27"/>
        <c:axId val="56437791"/>
        <c:axId val="17743759"/>
      </c:barChart>
      <c:catAx>
        <c:axId val="5643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hi-IN"/>
          </a:p>
        </c:txPr>
        <c:crossAx val="17743759"/>
        <c:crosses val="autoZero"/>
        <c:auto val="1"/>
        <c:lblAlgn val="ctr"/>
        <c:lblOffset val="100"/>
        <c:noMultiLvlLbl val="0"/>
      </c:catAx>
      <c:valAx>
        <c:axId val="17743759"/>
        <c:scaling>
          <c:orientation val="minMax"/>
        </c:scaling>
        <c:delete val="1"/>
        <c:axPos val="l"/>
        <c:numFmt formatCode="General" sourceLinked="1"/>
        <c:majorTickMark val="none"/>
        <c:minorTickMark val="none"/>
        <c:tickLblPos val="nextTo"/>
        <c:crossAx val="5643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lumMod val="2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 Sales_Data_Working.xlsx]Pivots!Top 10 cities by Sales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i-IN" sz="1400" b="0" i="0" u="none" strike="noStrike" baseline="0">
                <a:solidFill>
                  <a:schemeClr val="bg1"/>
                </a:solidFill>
                <a:effectLst/>
              </a:rPr>
              <a:t>Top 10 Cities by Sales </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i-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Pivots!$N$3</c:f>
              <c:strCache>
                <c:ptCount val="1"/>
                <c:pt idx="0">
                  <c:v>Total</c:v>
                </c:pt>
              </c:strCache>
            </c:strRef>
          </c:tx>
          <c:spPr>
            <a:solidFill>
              <a:schemeClr val="accent1"/>
            </a:solidFill>
            <a:ln>
              <a:noFill/>
            </a:ln>
            <a:effectLst/>
            <a:sp3d/>
          </c:spPr>
          <c:invertIfNegative val="0"/>
          <c:cat>
            <c:strRef>
              <c:f>Pivots!$M$4:$M$14</c:f>
              <c:strCache>
                <c:ptCount val="10"/>
                <c:pt idx="0">
                  <c:v>North Wandaside</c:v>
                </c:pt>
                <c:pt idx="1">
                  <c:v>Bryanland</c:v>
                </c:pt>
                <c:pt idx="2">
                  <c:v>Port Brookeborough</c:v>
                </c:pt>
                <c:pt idx="3">
                  <c:v>Port Nicholas</c:v>
                </c:pt>
                <c:pt idx="4">
                  <c:v>Port Amanda</c:v>
                </c:pt>
                <c:pt idx="5">
                  <c:v>New Tyroneview</c:v>
                </c:pt>
                <c:pt idx="6">
                  <c:v>Webermouth</c:v>
                </c:pt>
                <c:pt idx="7">
                  <c:v>Morganmouth</c:v>
                </c:pt>
                <c:pt idx="8">
                  <c:v>Port Julia</c:v>
                </c:pt>
                <c:pt idx="9">
                  <c:v>Wellston</c:v>
                </c:pt>
              </c:strCache>
            </c:strRef>
          </c:cat>
          <c:val>
            <c:numRef>
              <c:f>Pivots!$N$4:$N$14</c:f>
              <c:numCache>
                <c:formatCode>General</c:formatCode>
                <c:ptCount val="10"/>
                <c:pt idx="0">
                  <c:v>242570</c:v>
                </c:pt>
                <c:pt idx="1">
                  <c:v>237440</c:v>
                </c:pt>
                <c:pt idx="2">
                  <c:v>223715</c:v>
                </c:pt>
                <c:pt idx="3">
                  <c:v>222620</c:v>
                </c:pt>
                <c:pt idx="4">
                  <c:v>211255</c:v>
                </c:pt>
                <c:pt idx="5">
                  <c:v>205080</c:v>
                </c:pt>
                <c:pt idx="6">
                  <c:v>203980</c:v>
                </c:pt>
                <c:pt idx="7">
                  <c:v>198640</c:v>
                </c:pt>
                <c:pt idx="8">
                  <c:v>192884</c:v>
                </c:pt>
                <c:pt idx="9">
                  <c:v>192420</c:v>
                </c:pt>
              </c:numCache>
            </c:numRef>
          </c:val>
          <c:extLst>
            <c:ext xmlns:c16="http://schemas.microsoft.com/office/drawing/2014/chart" uri="{C3380CC4-5D6E-409C-BE32-E72D297353CC}">
              <c16:uniqueId val="{00000000-4C15-437A-B605-EB0A71F903E4}"/>
            </c:ext>
          </c:extLst>
        </c:ser>
        <c:dLbls>
          <c:showLegendKey val="0"/>
          <c:showVal val="0"/>
          <c:showCatName val="0"/>
          <c:showSerName val="0"/>
          <c:showPercent val="0"/>
          <c:showBubbleSize val="0"/>
        </c:dLbls>
        <c:gapWidth val="150"/>
        <c:shape val="box"/>
        <c:axId val="56423407"/>
        <c:axId val="17743279"/>
        <c:axId val="0"/>
      </c:bar3DChart>
      <c:catAx>
        <c:axId val="56423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hi-IN"/>
          </a:p>
        </c:txPr>
        <c:crossAx val="17743279"/>
        <c:crosses val="autoZero"/>
        <c:auto val="1"/>
        <c:lblAlgn val="ctr"/>
        <c:lblOffset val="100"/>
        <c:noMultiLvlLbl val="0"/>
      </c:catAx>
      <c:valAx>
        <c:axId val="17743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hi-IN"/>
          </a:p>
        </c:txPr>
        <c:crossAx val="5642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lumMod val="2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 Sales_Data_Working.xlsx]Pivots!Monthly Sales Trend</c:name>
    <c:fmtId val="1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hi-IN" sz="1400" b="0" i="0" u="none" strike="noStrike" baseline="0">
                <a:solidFill>
                  <a:schemeClr val="bg1"/>
                </a:solidFill>
                <a:effectLst/>
              </a:rPr>
              <a:t>Monthly Sales Trend </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hi-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423416224908422E-2"/>
          <c:y val="0.1802435827721309"/>
          <c:w val="0.88352240496654932"/>
          <c:h val="0.59728310631379189"/>
        </c:manualLayout>
      </c:layout>
      <c:lineChart>
        <c:grouping val="stacked"/>
        <c:varyColors val="0"/>
        <c:ser>
          <c:idx val="0"/>
          <c:order val="0"/>
          <c:tx>
            <c:strRef>
              <c:f>Pivots!$H$3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Pivots!$H$4:$H$16</c:f>
              <c:numCache>
                <c:formatCode>General</c:formatCode>
                <c:ptCount val="12"/>
                <c:pt idx="0">
                  <c:v>509606</c:v>
                </c:pt>
                <c:pt idx="1">
                  <c:v>759815</c:v>
                </c:pt>
                <c:pt idx="2">
                  <c:v>1330625</c:v>
                </c:pt>
                <c:pt idx="3">
                  <c:v>990094</c:v>
                </c:pt>
                <c:pt idx="4">
                  <c:v>883549</c:v>
                </c:pt>
                <c:pt idx="5">
                  <c:v>521527</c:v>
                </c:pt>
                <c:pt idx="6">
                  <c:v>491703</c:v>
                </c:pt>
                <c:pt idx="7">
                  <c:v>1001031</c:v>
                </c:pt>
                <c:pt idx="8">
                  <c:v>593698</c:v>
                </c:pt>
                <c:pt idx="9">
                  <c:v>596425</c:v>
                </c:pt>
                <c:pt idx="10">
                  <c:v>977905</c:v>
                </c:pt>
                <c:pt idx="11">
                  <c:v>478888</c:v>
                </c:pt>
              </c:numCache>
            </c:numRef>
          </c:val>
          <c:smooth val="0"/>
          <c:extLst>
            <c:ext xmlns:c16="http://schemas.microsoft.com/office/drawing/2014/chart" uri="{C3380CC4-5D6E-409C-BE32-E72D297353CC}">
              <c16:uniqueId val="{00000000-25DC-43B6-ADE7-3A6910FA6DAA}"/>
            </c:ext>
          </c:extLst>
        </c:ser>
        <c:dLbls>
          <c:showLegendKey val="0"/>
          <c:showVal val="0"/>
          <c:showCatName val="0"/>
          <c:showSerName val="0"/>
          <c:showPercent val="0"/>
          <c:showBubbleSize val="0"/>
        </c:dLbls>
        <c:marker val="1"/>
        <c:smooth val="0"/>
        <c:axId val="56467487"/>
        <c:axId val="17712559"/>
      </c:lineChart>
      <c:catAx>
        <c:axId val="5646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hi-IN"/>
          </a:p>
        </c:txPr>
        <c:crossAx val="17712559"/>
        <c:crosses val="autoZero"/>
        <c:auto val="1"/>
        <c:lblAlgn val="ctr"/>
        <c:lblOffset val="100"/>
        <c:noMultiLvlLbl val="0"/>
      </c:catAx>
      <c:valAx>
        <c:axId val="17712559"/>
        <c:scaling>
          <c:orientation val="minMax"/>
        </c:scaling>
        <c:delete val="1"/>
        <c:axPos val="l"/>
        <c:numFmt formatCode="General" sourceLinked="1"/>
        <c:majorTickMark val="none"/>
        <c:minorTickMark val="none"/>
        <c:tickLblPos val="nextTo"/>
        <c:crossAx val="5646748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lumMod val="2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 Sales_Data_Working.xlsx]Pivots!Quantity Sold by Product		</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hi-IN" sz="1400" b="0" i="0" u="none" strike="noStrike" baseline="0">
                <a:solidFill>
                  <a:schemeClr val="bg1"/>
                </a:solidFill>
                <a:effectLst/>
              </a:rPr>
              <a:t>Q</a:t>
            </a:r>
            <a:r>
              <a:rPr lang="en-IN" sz="1400" b="0" i="0" u="none" strike="noStrike" baseline="0">
                <a:solidFill>
                  <a:schemeClr val="bg1"/>
                </a:solidFill>
                <a:effectLst/>
              </a:rPr>
              <a:t>t</a:t>
            </a:r>
            <a:r>
              <a:rPr lang="hi-IN" sz="1400" b="0" i="0" u="none" strike="noStrike" baseline="0">
                <a:solidFill>
                  <a:schemeClr val="bg1"/>
                </a:solidFill>
                <a:effectLst/>
              </a:rPr>
              <a:t>y Sold by Product </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hi-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917392854831669"/>
          <c:y val="0.19265557621416637"/>
          <c:w val="0.81456630270306174"/>
          <c:h val="0.4962441691826715"/>
        </c:manualLayout>
      </c:layout>
      <c:bar3DChart>
        <c:barDir val="col"/>
        <c:grouping val="clustered"/>
        <c:varyColors val="0"/>
        <c:ser>
          <c:idx val="0"/>
          <c:order val="0"/>
          <c:tx>
            <c:strRef>
              <c:f>Pivots!$Q$3</c:f>
              <c:strCache>
                <c:ptCount val="1"/>
                <c:pt idx="0">
                  <c:v>Total</c:v>
                </c:pt>
              </c:strCache>
            </c:strRef>
          </c:tx>
          <c:spPr>
            <a:solidFill>
              <a:schemeClr val="accent1"/>
            </a:solidFill>
            <a:ln>
              <a:noFill/>
            </a:ln>
            <a:effectLst/>
            <a:sp3d/>
          </c:spPr>
          <c:invertIfNegative val="0"/>
          <c:cat>
            <c:strRef>
              <c:f>Pivots!$P$4:$P$9</c:f>
              <c:strCache>
                <c:ptCount val="5"/>
                <c:pt idx="0">
                  <c:v>Headphones</c:v>
                </c:pt>
                <c:pt idx="1">
                  <c:v>Laptop</c:v>
                </c:pt>
                <c:pt idx="2">
                  <c:v>Smartphone</c:v>
                </c:pt>
                <c:pt idx="3">
                  <c:v>Smartwatch</c:v>
                </c:pt>
                <c:pt idx="4">
                  <c:v>Tablet</c:v>
                </c:pt>
              </c:strCache>
            </c:strRef>
          </c:cat>
          <c:val>
            <c:numRef>
              <c:f>Pivots!$Q$4:$Q$9</c:f>
              <c:numCache>
                <c:formatCode>General</c:formatCode>
                <c:ptCount val="5"/>
                <c:pt idx="0">
                  <c:v>77</c:v>
                </c:pt>
                <c:pt idx="1">
                  <c:v>76</c:v>
                </c:pt>
                <c:pt idx="2">
                  <c:v>59</c:v>
                </c:pt>
                <c:pt idx="3">
                  <c:v>45</c:v>
                </c:pt>
                <c:pt idx="4">
                  <c:v>51</c:v>
                </c:pt>
              </c:numCache>
            </c:numRef>
          </c:val>
          <c:extLst>
            <c:ext xmlns:c16="http://schemas.microsoft.com/office/drawing/2014/chart" uri="{C3380CC4-5D6E-409C-BE32-E72D297353CC}">
              <c16:uniqueId val="{00000000-1120-4495-B7BE-DB35FECDE3CA}"/>
            </c:ext>
          </c:extLst>
        </c:ser>
        <c:dLbls>
          <c:showLegendKey val="0"/>
          <c:showVal val="0"/>
          <c:showCatName val="0"/>
          <c:showSerName val="0"/>
          <c:showPercent val="0"/>
          <c:showBubbleSize val="0"/>
        </c:dLbls>
        <c:gapWidth val="150"/>
        <c:shape val="box"/>
        <c:axId val="89439119"/>
        <c:axId val="17662159"/>
        <c:axId val="0"/>
      </c:bar3DChart>
      <c:catAx>
        <c:axId val="89439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hi-IN"/>
          </a:p>
        </c:txPr>
        <c:crossAx val="17662159"/>
        <c:crosses val="autoZero"/>
        <c:auto val="1"/>
        <c:lblAlgn val="ctr"/>
        <c:lblOffset val="100"/>
        <c:noMultiLvlLbl val="0"/>
      </c:catAx>
      <c:valAx>
        <c:axId val="17662159"/>
        <c:scaling>
          <c:orientation val="minMax"/>
        </c:scaling>
        <c:delete val="1"/>
        <c:axPos val="l"/>
        <c:numFmt formatCode="General" sourceLinked="1"/>
        <c:majorTickMark val="none"/>
        <c:minorTickMark val="none"/>
        <c:tickLblPos val="nextTo"/>
        <c:crossAx val="8943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lumMod val="2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 Sales_Data_Working.xlsx]Pivots!PivotTable4</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hi-IN" sz="1400" b="0" i="0" u="none" strike="noStrike" baseline="0">
                <a:solidFill>
                  <a:schemeClr val="bg1"/>
                </a:solidFill>
                <a:effectLst/>
              </a:rPr>
              <a:t>Rating Distribution </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hi-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Pivots!$K$3</c:f>
              <c:strCache>
                <c:ptCount val="1"/>
                <c:pt idx="0">
                  <c:v>Total</c:v>
                </c:pt>
              </c:strCache>
            </c:strRef>
          </c:tx>
          <c:spPr>
            <a:ln w="19050"/>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73-40C3-B15E-A0BFD10718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73-40C3-B15E-A0BFD10718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73-40C3-B15E-A0BFD10718F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73-40C3-B15E-A0BFD10718F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B73-40C3-B15E-A0BFD10718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Pivots!$J$4:$J$9</c:f>
              <c:strCache>
                <c:ptCount val="5"/>
                <c:pt idx="0">
                  <c:v>1</c:v>
                </c:pt>
                <c:pt idx="1">
                  <c:v>2</c:v>
                </c:pt>
                <c:pt idx="2">
                  <c:v>3</c:v>
                </c:pt>
                <c:pt idx="3">
                  <c:v>4</c:v>
                </c:pt>
                <c:pt idx="4">
                  <c:v>5</c:v>
                </c:pt>
              </c:strCache>
            </c:strRef>
          </c:cat>
          <c:val>
            <c:numRef>
              <c:f>Pivots!$K$4:$K$9</c:f>
              <c:numCache>
                <c:formatCode>General</c:formatCode>
                <c:ptCount val="5"/>
                <c:pt idx="0">
                  <c:v>8</c:v>
                </c:pt>
                <c:pt idx="1">
                  <c:v>15</c:v>
                </c:pt>
                <c:pt idx="2">
                  <c:v>12</c:v>
                </c:pt>
                <c:pt idx="3">
                  <c:v>17</c:v>
                </c:pt>
                <c:pt idx="4">
                  <c:v>48</c:v>
                </c:pt>
              </c:numCache>
            </c:numRef>
          </c:val>
          <c:extLst>
            <c:ext xmlns:c16="http://schemas.microsoft.com/office/drawing/2014/chart" uri="{C3380CC4-5D6E-409C-BE32-E72D297353CC}">
              <c16:uniqueId val="{0000000A-8B73-40C3-B15E-A0BFD10718FE}"/>
            </c:ext>
          </c:extLst>
        </c:ser>
        <c:dLbls>
          <c:showLegendKey val="0"/>
          <c:showVal val="1"/>
          <c:showCatName val="0"/>
          <c:showSerName val="0"/>
          <c:showPercent val="0"/>
          <c:showBubbleSize val="0"/>
          <c:showLeaderLines val="1"/>
        </c:dLbls>
        <c:firstSliceAng val="0"/>
        <c:holeSize val="50"/>
      </c:doughnutChart>
      <c:spPr>
        <a:noFill/>
        <a:ln w="15875">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solidFill>
        <a:schemeClr val="bg2">
          <a:lumMod val="2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489074</xdr:colOff>
      <xdr:row>2</xdr:row>
      <xdr:rowOff>61961</xdr:rowOff>
    </xdr:from>
    <xdr:to>
      <xdr:col>10</xdr:col>
      <xdr:colOff>116395</xdr:colOff>
      <xdr:row>5</xdr:row>
      <xdr:rowOff>42032</xdr:rowOff>
    </xdr:to>
    <xdr:sp macro="" textlink="">
      <xdr:nvSpPr>
        <xdr:cNvPr id="5" name="Rectangle: Rounded Corners 4">
          <a:extLst>
            <a:ext uri="{FF2B5EF4-FFF2-40B4-BE49-F238E27FC236}">
              <a16:creationId xmlns:a16="http://schemas.microsoft.com/office/drawing/2014/main" id="{6001AF00-185E-6A01-E5C5-E0BC5CAD4238}"/>
            </a:ext>
          </a:extLst>
        </xdr:cNvPr>
        <xdr:cNvSpPr/>
      </xdr:nvSpPr>
      <xdr:spPr>
        <a:xfrm>
          <a:off x="5291262" y="665211"/>
          <a:ext cx="1627571" cy="884946"/>
        </a:xfrm>
        <a:prstGeom prst="round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1100">
              <a:solidFill>
                <a:schemeClr val="bg1"/>
              </a:solidFill>
              <a:latin typeface="Britannic Bold" panose="020B0903060703020204" pitchFamily="34" charset="0"/>
            </a:rPr>
            <a:t>Total</a:t>
          </a:r>
          <a:r>
            <a:rPr lang="en-IN" sz="1100" baseline="0">
              <a:solidFill>
                <a:schemeClr val="bg1"/>
              </a:solidFill>
              <a:latin typeface="Britannic Bold" panose="020B0903060703020204" pitchFamily="34" charset="0"/>
            </a:rPr>
            <a:t> Sales</a:t>
          </a:r>
        </a:p>
        <a:p>
          <a:pPr algn="l"/>
          <a:endParaRPr lang="en-IN" sz="1100" baseline="0">
            <a:solidFill>
              <a:schemeClr val="bg1"/>
            </a:solidFill>
            <a:latin typeface="Britannic Bold" panose="020B0903060703020204" pitchFamily="34" charset="0"/>
          </a:endParaRPr>
        </a:p>
        <a:p>
          <a:pPr algn="ctr"/>
          <a:r>
            <a:rPr lang="hi-IN" sz="1100" b="0" i="0" u="none" strike="noStrike">
              <a:solidFill>
                <a:schemeClr val="bg1"/>
              </a:solidFill>
              <a:effectLst/>
              <a:latin typeface="Britannic Bold" panose="020B0903060703020204" pitchFamily="34" charset="0"/>
              <a:ea typeface="+mn-ea"/>
              <a:cs typeface="+mn-cs"/>
            </a:rPr>
            <a:t>₹91,34,866</a:t>
          </a:r>
          <a:r>
            <a:rPr lang="hi-IN">
              <a:solidFill>
                <a:schemeClr val="bg1"/>
              </a:solidFill>
              <a:effectLst/>
              <a:latin typeface="Britannic Bold" panose="020B0903060703020204" pitchFamily="34" charset="0"/>
            </a:rPr>
            <a:t> </a:t>
          </a:r>
          <a:endParaRPr lang="en-IN" sz="1100" baseline="0">
            <a:solidFill>
              <a:schemeClr val="bg1"/>
            </a:solidFill>
            <a:latin typeface="Britannic Bold" panose="020B0903060703020204" pitchFamily="34" charset="0"/>
          </a:endParaRPr>
        </a:p>
      </xdr:txBody>
    </xdr:sp>
    <xdr:clientData/>
  </xdr:twoCellAnchor>
  <xdr:twoCellAnchor>
    <xdr:from>
      <xdr:col>10</xdr:col>
      <xdr:colOff>184211</xdr:colOff>
      <xdr:row>2</xdr:row>
      <xdr:rowOff>54708</xdr:rowOff>
    </xdr:from>
    <xdr:to>
      <xdr:col>12</xdr:col>
      <xdr:colOff>478282</xdr:colOff>
      <xdr:row>5</xdr:row>
      <xdr:rowOff>5764</xdr:rowOff>
    </xdr:to>
    <xdr:sp macro="" textlink="">
      <xdr:nvSpPr>
        <xdr:cNvPr id="6" name="Rectangle: Rounded Corners 5">
          <a:extLst>
            <a:ext uri="{FF2B5EF4-FFF2-40B4-BE49-F238E27FC236}">
              <a16:creationId xmlns:a16="http://schemas.microsoft.com/office/drawing/2014/main" id="{42B76CCB-8BC1-E97D-E995-CFE1723BAD63}"/>
            </a:ext>
          </a:extLst>
        </xdr:cNvPr>
        <xdr:cNvSpPr/>
      </xdr:nvSpPr>
      <xdr:spPr>
        <a:xfrm>
          <a:off x="6986649" y="657958"/>
          <a:ext cx="1627571" cy="855931"/>
        </a:xfrm>
        <a:prstGeom prst="round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1100">
              <a:latin typeface="Britannic Bold" panose="020B0903060703020204" pitchFamily="34" charset="0"/>
            </a:rPr>
            <a:t>Total</a:t>
          </a:r>
          <a:r>
            <a:rPr lang="en-IN" sz="1100" baseline="0">
              <a:latin typeface="Britannic Bold" panose="020B0903060703020204" pitchFamily="34" charset="0"/>
            </a:rPr>
            <a:t> Quantity</a:t>
          </a:r>
        </a:p>
        <a:p>
          <a:pPr algn="l"/>
          <a:endParaRPr lang="en-IN" sz="1100" baseline="0">
            <a:effectLst/>
            <a:latin typeface="Britannic Bold" panose="020B0903060703020204" pitchFamily="34" charset="0"/>
          </a:endParaRPr>
        </a:p>
        <a:p>
          <a:pPr algn="ctr"/>
          <a:r>
            <a:rPr lang="hi-IN">
              <a:effectLst/>
              <a:latin typeface="Britannic Bold" panose="020B0903060703020204" pitchFamily="34" charset="0"/>
            </a:rPr>
            <a:t> </a:t>
          </a:r>
          <a:r>
            <a:rPr lang="hi-IN" sz="1100" b="0" i="0">
              <a:solidFill>
                <a:schemeClr val="lt1"/>
              </a:solidFill>
              <a:effectLst/>
              <a:latin typeface="+mn-lt"/>
              <a:ea typeface="+mn-ea"/>
              <a:cs typeface="+mn-cs"/>
            </a:rPr>
            <a:t>₹</a:t>
          </a:r>
          <a:r>
            <a:rPr lang="hi-IN" sz="1100" b="0" i="0" u="none" strike="noStrike">
              <a:solidFill>
                <a:schemeClr val="lt1"/>
              </a:solidFill>
              <a:effectLst/>
              <a:latin typeface="Britannic Bold" panose="020B0903060703020204" pitchFamily="34" charset="0"/>
              <a:ea typeface="+mn-ea"/>
              <a:cs typeface="+mn-cs"/>
            </a:rPr>
            <a:t>308</a:t>
          </a:r>
          <a:r>
            <a:rPr lang="hi-IN">
              <a:effectLst/>
              <a:latin typeface="Britannic Bold" panose="020B0903060703020204" pitchFamily="34" charset="0"/>
            </a:rPr>
            <a:t> </a:t>
          </a:r>
          <a:endParaRPr lang="en-IN">
            <a:effectLst/>
            <a:latin typeface="Britannic Bold" panose="020B0903060703020204" pitchFamily="34" charset="0"/>
          </a:endParaRPr>
        </a:p>
        <a:p>
          <a:pPr algn="l"/>
          <a:endParaRPr lang="hi-IN" sz="1100">
            <a:latin typeface="Britannic Bold" panose="020B0903060703020204" pitchFamily="34" charset="0"/>
          </a:endParaRPr>
        </a:p>
      </xdr:txBody>
    </xdr:sp>
    <xdr:clientData/>
  </xdr:twoCellAnchor>
  <xdr:twoCellAnchor>
    <xdr:from>
      <xdr:col>12</xdr:col>
      <xdr:colOff>546097</xdr:colOff>
      <xdr:row>2</xdr:row>
      <xdr:rowOff>40200</xdr:rowOff>
    </xdr:from>
    <xdr:to>
      <xdr:col>15</xdr:col>
      <xdr:colOff>173418</xdr:colOff>
      <xdr:row>4</xdr:row>
      <xdr:rowOff>292881</xdr:rowOff>
    </xdr:to>
    <xdr:sp macro="" textlink="">
      <xdr:nvSpPr>
        <xdr:cNvPr id="7" name="Rectangle: Rounded Corners 6">
          <a:extLst>
            <a:ext uri="{FF2B5EF4-FFF2-40B4-BE49-F238E27FC236}">
              <a16:creationId xmlns:a16="http://schemas.microsoft.com/office/drawing/2014/main" id="{82E2ED01-9819-DC4E-34CF-765F2AB81D40}"/>
            </a:ext>
          </a:extLst>
        </xdr:cNvPr>
        <xdr:cNvSpPr/>
      </xdr:nvSpPr>
      <xdr:spPr>
        <a:xfrm>
          <a:off x="8682035" y="643450"/>
          <a:ext cx="1627571" cy="855931"/>
        </a:xfrm>
        <a:prstGeom prst="round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ctr"/>
          <a:r>
            <a:rPr lang="hi-IN" sz="1100">
              <a:solidFill>
                <a:schemeClr val="lt1"/>
              </a:solidFill>
              <a:latin typeface="Britannic Bold" panose="020B0903060703020204" pitchFamily="34" charset="0"/>
              <a:ea typeface="+mn-ea"/>
              <a:cs typeface="+mn-cs"/>
            </a:rPr>
            <a:t>Average Order Value </a:t>
          </a:r>
          <a:endParaRPr lang="en-IN" sz="1100">
            <a:solidFill>
              <a:schemeClr val="lt1"/>
            </a:solidFill>
            <a:latin typeface="Britannic Bold" panose="020B0903060703020204" pitchFamily="34" charset="0"/>
            <a:ea typeface="+mn-ea"/>
            <a:cs typeface="+mn-cs"/>
          </a:endParaRPr>
        </a:p>
        <a:p>
          <a:pPr marL="0" indent="0" algn="l"/>
          <a:endParaRPr lang="en-IN" sz="1100">
            <a:solidFill>
              <a:schemeClr val="lt1"/>
            </a:solidFill>
            <a:latin typeface="Britannic Bold" panose="020B0903060703020204" pitchFamily="34" charset="0"/>
            <a:ea typeface="+mn-ea"/>
            <a:cs typeface="+mn-cs"/>
          </a:endParaRPr>
        </a:p>
        <a:p>
          <a:pPr marL="0" indent="0" algn="ctr"/>
          <a:r>
            <a:rPr lang="hi-IN"/>
            <a:t>₹29,659</a:t>
          </a:r>
          <a:r>
            <a:rPr lang="hi-IN" sz="1100">
              <a:solidFill>
                <a:schemeClr val="lt1"/>
              </a:solidFill>
              <a:latin typeface="Britannic Bold" panose="020B0903060703020204" pitchFamily="34" charset="0"/>
              <a:ea typeface="+mn-ea"/>
              <a:cs typeface="+mn-cs"/>
            </a:rPr>
            <a:t> </a:t>
          </a:r>
        </a:p>
      </xdr:txBody>
    </xdr:sp>
    <xdr:clientData/>
  </xdr:twoCellAnchor>
  <xdr:twoCellAnchor>
    <xdr:from>
      <xdr:col>15</xdr:col>
      <xdr:colOff>232893</xdr:colOff>
      <xdr:row>2</xdr:row>
      <xdr:rowOff>47454</xdr:rowOff>
    </xdr:from>
    <xdr:to>
      <xdr:col>17</xdr:col>
      <xdr:colOff>526964</xdr:colOff>
      <xdr:row>4</xdr:row>
      <xdr:rowOff>300135</xdr:rowOff>
    </xdr:to>
    <xdr:sp macro="" textlink="">
      <xdr:nvSpPr>
        <xdr:cNvPr id="8" name="Rectangle: Rounded Corners 7">
          <a:extLst>
            <a:ext uri="{FF2B5EF4-FFF2-40B4-BE49-F238E27FC236}">
              <a16:creationId xmlns:a16="http://schemas.microsoft.com/office/drawing/2014/main" id="{F20411EF-B15F-DBEF-1979-9DC7E430DC12}"/>
            </a:ext>
          </a:extLst>
        </xdr:cNvPr>
        <xdr:cNvSpPr/>
      </xdr:nvSpPr>
      <xdr:spPr>
        <a:xfrm>
          <a:off x="10369081" y="650704"/>
          <a:ext cx="1627571" cy="855931"/>
        </a:xfrm>
        <a:prstGeom prst="round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ctr"/>
          <a:r>
            <a:rPr lang="hi-IN" sz="1100">
              <a:solidFill>
                <a:schemeClr val="lt1"/>
              </a:solidFill>
              <a:latin typeface="Britannic Bold" panose="020B0903060703020204" pitchFamily="34" charset="0"/>
              <a:ea typeface="+mn-ea"/>
              <a:cs typeface="+mn-cs"/>
            </a:rPr>
            <a:t>Average Customer Rating </a:t>
          </a:r>
          <a:endParaRPr lang="en-IN" sz="1100">
            <a:solidFill>
              <a:schemeClr val="lt1"/>
            </a:solidFill>
            <a:latin typeface="Britannic Bold" panose="020B0903060703020204" pitchFamily="34" charset="0"/>
            <a:ea typeface="+mn-ea"/>
            <a:cs typeface="+mn-cs"/>
          </a:endParaRPr>
        </a:p>
        <a:p>
          <a:pPr marL="0" indent="0" algn="ctr"/>
          <a:r>
            <a:rPr lang="hi-IN" sz="1100">
              <a:solidFill>
                <a:schemeClr val="lt1"/>
              </a:solidFill>
              <a:latin typeface="Britannic Bold" panose="020B0903060703020204" pitchFamily="34" charset="0"/>
              <a:ea typeface="+mn-ea"/>
              <a:cs typeface="+mn-cs"/>
            </a:rPr>
            <a:t>3.82 </a:t>
          </a:r>
          <a:endParaRPr lang="en-IN" sz="1100">
            <a:solidFill>
              <a:schemeClr val="lt1"/>
            </a:solidFill>
            <a:latin typeface="Britannic Bold" panose="020B0903060703020204" pitchFamily="34" charset="0"/>
            <a:ea typeface="+mn-ea"/>
            <a:cs typeface="+mn-cs"/>
          </a:endParaRPr>
        </a:p>
      </xdr:txBody>
    </xdr:sp>
    <xdr:clientData/>
  </xdr:twoCellAnchor>
  <xdr:twoCellAnchor>
    <xdr:from>
      <xdr:col>3</xdr:col>
      <xdr:colOff>793750</xdr:colOff>
      <xdr:row>11</xdr:row>
      <xdr:rowOff>71439</xdr:rowOff>
    </xdr:from>
    <xdr:to>
      <xdr:col>7</xdr:col>
      <xdr:colOff>468312</xdr:colOff>
      <xdr:row>21</xdr:row>
      <xdr:rowOff>23813</xdr:rowOff>
    </xdr:to>
    <xdr:graphicFrame macro="">
      <xdr:nvGraphicFramePr>
        <xdr:cNvPr id="14" name="Chart 13">
          <a:extLst>
            <a:ext uri="{FF2B5EF4-FFF2-40B4-BE49-F238E27FC236}">
              <a16:creationId xmlns:a16="http://schemas.microsoft.com/office/drawing/2014/main" id="{71609D80-398D-43A4-A4EA-63D2099CE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507999</xdr:colOff>
      <xdr:row>5</xdr:row>
      <xdr:rowOff>95252</xdr:rowOff>
    </xdr:from>
    <xdr:to>
      <xdr:col>14</xdr:col>
      <xdr:colOff>293686</xdr:colOff>
      <xdr:row>11</xdr:row>
      <xdr:rowOff>198438</xdr:rowOff>
    </xdr:to>
    <xdr:graphicFrame macro="">
      <xdr:nvGraphicFramePr>
        <xdr:cNvPr id="15" name="Chart 14">
          <a:extLst>
            <a:ext uri="{FF2B5EF4-FFF2-40B4-BE49-F238E27FC236}">
              <a16:creationId xmlns:a16="http://schemas.microsoft.com/office/drawing/2014/main" id="{A0906AB9-1A92-4E31-AA65-6947B511B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349248</xdr:colOff>
      <xdr:row>5</xdr:row>
      <xdr:rowOff>63498</xdr:rowOff>
    </xdr:from>
    <xdr:to>
      <xdr:col>21</xdr:col>
      <xdr:colOff>587376</xdr:colOff>
      <xdr:row>18</xdr:row>
      <xdr:rowOff>222250</xdr:rowOff>
    </xdr:to>
    <xdr:graphicFrame macro="">
      <xdr:nvGraphicFramePr>
        <xdr:cNvPr id="17" name="Chart 16">
          <a:extLst>
            <a:ext uri="{FF2B5EF4-FFF2-40B4-BE49-F238E27FC236}">
              <a16:creationId xmlns:a16="http://schemas.microsoft.com/office/drawing/2014/main" id="{3F43622D-6ADD-498E-91B0-0F45048F0A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555624</xdr:colOff>
      <xdr:row>11</xdr:row>
      <xdr:rowOff>269876</xdr:rowOff>
    </xdr:from>
    <xdr:to>
      <xdr:col>14</xdr:col>
      <xdr:colOff>285750</xdr:colOff>
      <xdr:row>19</xdr:row>
      <xdr:rowOff>47626</xdr:rowOff>
    </xdr:to>
    <xdr:graphicFrame macro="">
      <xdr:nvGraphicFramePr>
        <xdr:cNvPr id="18" name="Chart 17">
          <a:extLst>
            <a:ext uri="{FF2B5EF4-FFF2-40B4-BE49-F238E27FC236}">
              <a16:creationId xmlns:a16="http://schemas.microsoft.com/office/drawing/2014/main" id="{AB182C26-AEB7-443B-AE17-52CAE8DA4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642934</xdr:colOff>
      <xdr:row>19</xdr:row>
      <xdr:rowOff>166691</xdr:rowOff>
    </xdr:from>
    <xdr:to>
      <xdr:col>17</xdr:col>
      <xdr:colOff>404811</xdr:colOff>
      <xdr:row>21</xdr:row>
      <xdr:rowOff>47625</xdr:rowOff>
    </xdr:to>
    <mc:AlternateContent xmlns:mc="http://schemas.openxmlformats.org/markup-compatibility/2006">
      <mc:Choice xmlns:a14="http://schemas.microsoft.com/office/drawing/2010/main" Requires="a14">
        <xdr:graphicFrame macro="">
          <xdr:nvGraphicFramePr>
            <xdr:cNvPr id="19" name="Months (Date)">
              <a:extLst>
                <a:ext uri="{FF2B5EF4-FFF2-40B4-BE49-F238E27FC236}">
                  <a16:creationId xmlns:a16="http://schemas.microsoft.com/office/drawing/2014/main" id="{D6FE016C-0EEF-4339-953C-F2C871D869DF}"/>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5445122" y="5897566"/>
              <a:ext cx="6429377" cy="484184"/>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142874</xdr:colOff>
      <xdr:row>2</xdr:row>
      <xdr:rowOff>31751</xdr:rowOff>
    </xdr:from>
    <xdr:to>
      <xdr:col>3</xdr:col>
      <xdr:colOff>769940</xdr:colOff>
      <xdr:row>7</xdr:row>
      <xdr:rowOff>127002</xdr:rowOff>
    </xdr:to>
    <mc:AlternateContent xmlns:mc="http://schemas.openxmlformats.org/markup-compatibility/2006">
      <mc:Choice xmlns:a14="http://schemas.microsoft.com/office/drawing/2010/main" Requires="a14">
        <xdr:graphicFrame macro="">
          <xdr:nvGraphicFramePr>
            <xdr:cNvPr id="20" name="Payment Method">
              <a:extLst>
                <a:ext uri="{FF2B5EF4-FFF2-40B4-BE49-F238E27FC236}">
                  <a16:creationId xmlns:a16="http://schemas.microsoft.com/office/drawing/2014/main" id="{3641301A-58C4-4FC6-A8E4-34DE847D29EB}"/>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476374" y="635001"/>
              <a:ext cx="1293816" cy="1603376"/>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468312</xdr:colOff>
      <xdr:row>18</xdr:row>
      <xdr:rowOff>238126</xdr:rowOff>
    </xdr:from>
    <xdr:to>
      <xdr:col>19</xdr:col>
      <xdr:colOff>571499</xdr:colOff>
      <xdr:row>21</xdr:row>
      <xdr:rowOff>111127</xdr:rowOff>
    </xdr:to>
    <mc:AlternateContent xmlns:mc="http://schemas.openxmlformats.org/markup-compatibility/2006">
      <mc:Choice xmlns:a14="http://schemas.microsoft.com/office/drawing/2010/main" Requires="a14">
        <xdr:graphicFrame macro="">
          <xdr:nvGraphicFramePr>
            <xdr:cNvPr id="21" name="Categories">
              <a:extLst>
                <a:ext uri="{FF2B5EF4-FFF2-40B4-BE49-F238E27FC236}">
                  <a16:creationId xmlns:a16="http://schemas.microsoft.com/office/drawing/2014/main" id="{6E70283B-11F3-4EC9-8AC0-917330C8A6F3}"/>
                </a:ext>
              </a:extLst>
            </xdr:cNvPr>
            <xdr:cNvGraphicFramePr/>
          </xdr:nvGraphicFramePr>
          <xdr:xfrm>
            <a:off x="0" y="0"/>
            <a:ext cx="0" cy="0"/>
          </xdr:xfrm>
          <a:graphic>
            <a:graphicData uri="http://schemas.microsoft.com/office/drawing/2010/slicer">
              <sle:slicer xmlns:sle="http://schemas.microsoft.com/office/drawing/2010/slicer" name="Categories"/>
            </a:graphicData>
          </a:graphic>
        </xdr:graphicFrame>
      </mc:Choice>
      <mc:Fallback>
        <xdr:sp macro="" textlink="">
          <xdr:nvSpPr>
            <xdr:cNvPr id="0" name=""/>
            <xdr:cNvSpPr>
              <a:spLocks noTextEdit="1"/>
            </xdr:cNvSpPr>
          </xdr:nvSpPr>
          <xdr:spPr>
            <a:xfrm>
              <a:off x="11938000" y="5667376"/>
              <a:ext cx="1436687" cy="777876"/>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55562</xdr:rowOff>
    </xdr:from>
    <xdr:to>
      <xdr:col>2</xdr:col>
      <xdr:colOff>111125</xdr:colOff>
      <xdr:row>8</xdr:row>
      <xdr:rowOff>158750</xdr:rowOff>
    </xdr:to>
    <mc:AlternateContent xmlns:mc="http://schemas.openxmlformats.org/markup-compatibility/2006">
      <mc:Choice xmlns:a14="http://schemas.microsoft.com/office/drawing/2010/main" Requires="a14">
        <xdr:graphicFrame macro="">
          <xdr:nvGraphicFramePr>
            <xdr:cNvPr id="22" name="Product">
              <a:extLst>
                <a:ext uri="{FF2B5EF4-FFF2-40B4-BE49-F238E27FC236}">
                  <a16:creationId xmlns:a16="http://schemas.microsoft.com/office/drawing/2014/main" id="{F514F794-916F-4DC6-B74A-7990999DA7D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658812"/>
              <a:ext cx="1444625" cy="1912938"/>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xdr:row>
      <xdr:rowOff>182565</xdr:rowOff>
    </xdr:from>
    <xdr:to>
      <xdr:col>3</xdr:col>
      <xdr:colOff>762000</xdr:colOff>
      <xdr:row>21</xdr:row>
      <xdr:rowOff>15875</xdr:rowOff>
    </xdr:to>
    <xdr:graphicFrame macro="">
      <xdr:nvGraphicFramePr>
        <xdr:cNvPr id="23" name="Chart 22">
          <a:extLst>
            <a:ext uri="{FF2B5EF4-FFF2-40B4-BE49-F238E27FC236}">
              <a16:creationId xmlns:a16="http://schemas.microsoft.com/office/drawing/2014/main" id="{4851E8DD-B056-45DE-8FF2-FF1A41D47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63500</xdr:colOff>
      <xdr:row>2</xdr:row>
      <xdr:rowOff>63500</xdr:rowOff>
    </xdr:from>
    <xdr:to>
      <xdr:col>7</xdr:col>
      <xdr:colOff>420687</xdr:colOff>
      <xdr:row>11</xdr:row>
      <xdr:rowOff>23814</xdr:rowOff>
    </xdr:to>
    <xdr:graphicFrame macro="">
      <xdr:nvGraphicFramePr>
        <xdr:cNvPr id="24" name="Chart 23">
          <a:extLst>
            <a:ext uri="{FF2B5EF4-FFF2-40B4-BE49-F238E27FC236}">
              <a16:creationId xmlns:a16="http://schemas.microsoft.com/office/drawing/2014/main" id="{D6990DAA-CFD1-4D7A-8E99-5D415EBAD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238126</xdr:colOff>
      <xdr:row>2</xdr:row>
      <xdr:rowOff>87314</xdr:rowOff>
    </xdr:from>
    <xdr:to>
      <xdr:col>21</xdr:col>
      <xdr:colOff>555625</xdr:colOff>
      <xdr:row>5</xdr:row>
      <xdr:rowOff>1</xdr:rowOff>
    </xdr:to>
    <mc:AlternateContent xmlns:mc="http://schemas.openxmlformats.org/markup-compatibility/2006">
      <mc:Choice xmlns:a14="http://schemas.microsoft.com/office/drawing/2010/main" Requires="a14">
        <xdr:graphicFrame macro="">
          <xdr:nvGraphicFramePr>
            <xdr:cNvPr id="26" name="Years (Date)">
              <a:extLst>
                <a:ext uri="{FF2B5EF4-FFF2-40B4-BE49-F238E27FC236}">
                  <a16:creationId xmlns:a16="http://schemas.microsoft.com/office/drawing/2014/main" id="{A3D1CEFC-7C63-42E7-8029-2B88494E16A4}"/>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13708064" y="690564"/>
              <a:ext cx="984249" cy="817562"/>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551980</xdr:colOff>
      <xdr:row>2</xdr:row>
      <xdr:rowOff>72854</xdr:rowOff>
    </xdr:from>
    <xdr:to>
      <xdr:col>20</xdr:col>
      <xdr:colOff>179301</xdr:colOff>
      <xdr:row>5</xdr:row>
      <xdr:rowOff>23910</xdr:rowOff>
    </xdr:to>
    <xdr:sp macro="" textlink="">
      <xdr:nvSpPr>
        <xdr:cNvPr id="27" name="Rectangle: Rounded Corners 26">
          <a:extLst>
            <a:ext uri="{FF2B5EF4-FFF2-40B4-BE49-F238E27FC236}">
              <a16:creationId xmlns:a16="http://schemas.microsoft.com/office/drawing/2014/main" id="{BCAE1ACF-9D97-2204-61DC-228EE47027B9}"/>
            </a:ext>
          </a:extLst>
        </xdr:cNvPr>
        <xdr:cNvSpPr/>
      </xdr:nvSpPr>
      <xdr:spPr>
        <a:xfrm>
          <a:off x="12021668" y="676104"/>
          <a:ext cx="1627571" cy="855931"/>
        </a:xfrm>
        <a:prstGeom prst="round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ctr"/>
          <a:r>
            <a:rPr lang="hi-IN" sz="1100">
              <a:solidFill>
                <a:schemeClr val="bg1"/>
              </a:solidFill>
              <a:latin typeface="Britannic Bold" panose="020B0903060703020204" pitchFamily="34" charset="0"/>
              <a:ea typeface="+mn-ea"/>
              <a:cs typeface="+mn-cs"/>
            </a:rPr>
            <a:t>Best</a:t>
          </a:r>
          <a:r>
            <a:rPr lang="hi-IN"/>
            <a:t> </a:t>
          </a:r>
          <a:r>
            <a:rPr lang="hi-IN" sz="1100">
              <a:solidFill>
                <a:schemeClr val="bg1"/>
              </a:solidFill>
              <a:latin typeface="Britannic Bold" panose="020B0903060703020204" pitchFamily="34" charset="0"/>
              <a:ea typeface="+mn-ea"/>
              <a:cs typeface="+mn-cs"/>
            </a:rPr>
            <a:t>Selling</a:t>
          </a:r>
          <a:r>
            <a:rPr lang="hi-IN"/>
            <a:t> </a:t>
          </a:r>
          <a:r>
            <a:rPr lang="hi-IN" sz="1100">
              <a:solidFill>
                <a:schemeClr val="bg1"/>
              </a:solidFill>
              <a:latin typeface="Britannic Bold" panose="020B0903060703020204" pitchFamily="34" charset="0"/>
              <a:ea typeface="+mn-ea"/>
              <a:cs typeface="+mn-cs"/>
            </a:rPr>
            <a:t>Product</a:t>
          </a:r>
          <a:endParaRPr lang="en-IN" sz="1100">
            <a:solidFill>
              <a:schemeClr val="bg1"/>
            </a:solidFill>
            <a:latin typeface="Britannic Bold" panose="020B0903060703020204" pitchFamily="34" charset="0"/>
            <a:ea typeface="+mn-ea"/>
            <a:cs typeface="+mn-cs"/>
          </a:endParaRPr>
        </a:p>
        <a:p>
          <a:pPr marL="0" indent="0" algn="ctr"/>
          <a:endParaRPr lang="en-IN" sz="1100">
            <a:solidFill>
              <a:schemeClr val="lt1"/>
            </a:solidFill>
            <a:latin typeface="Britannic Bold" panose="020B0903060703020204" pitchFamily="34" charset="0"/>
            <a:ea typeface="+mn-ea"/>
            <a:cs typeface="+mn-cs"/>
          </a:endParaRPr>
        </a:p>
        <a:p>
          <a:pPr marL="0" indent="0" algn="ctr"/>
          <a:r>
            <a:rPr lang="en-IN" sz="1100">
              <a:solidFill>
                <a:schemeClr val="lt1"/>
              </a:solidFill>
              <a:latin typeface="Britannic Bold" panose="020B0903060703020204" pitchFamily="34" charset="0"/>
              <a:ea typeface="+mn-ea"/>
              <a:cs typeface="+mn-cs"/>
            </a:rPr>
            <a:t>Laptop</a:t>
          </a:r>
          <a:r>
            <a:rPr lang="hi-IN" sz="1100">
              <a:solidFill>
                <a:schemeClr val="lt1"/>
              </a:solidFill>
              <a:latin typeface="Britannic Bold" panose="020B0903060703020204" pitchFamily="34" charset="0"/>
              <a:ea typeface="+mn-ea"/>
              <a:cs typeface="+mn-cs"/>
            </a:rPr>
            <a:t> </a:t>
          </a:r>
          <a:endParaRPr lang="en-IN" sz="1100">
            <a:solidFill>
              <a:schemeClr val="lt1"/>
            </a:solidFill>
            <a:latin typeface="Britannic Bold" panose="020B0903060703020204" pitchFamily="34" charset="0"/>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lash mawari" refreshedDate="46216.582600578702" createdVersion="8" refreshedVersion="8" minRefreshableVersion="3" recordCount="100" xr:uid="{C61CCB2F-4858-4DDA-A74B-AD2C94C61782}">
  <cacheSource type="worksheet">
    <worksheetSource name="Table1_1"/>
  </cacheSource>
  <cacheFields count="14">
    <cacheField name="Transaction ID" numFmtId="0">
      <sharedItems/>
    </cacheField>
    <cacheField name="Date" numFmtId="14">
      <sharedItems containsSemiMixedTypes="0" containsNonDate="0" containsDate="1" containsString="0" minDate="2024-03-19T00:00:00" maxDate="2025-03-15T00:00:00" count="83">
        <d v="2024-09-29T00:00:00"/>
        <d v="2024-11-21T00:00:00"/>
        <d v="2024-10-18T00:00:00"/>
        <d v="2024-07-08T00:00:00"/>
        <d v="2024-08-06T00:00:00"/>
        <d v="2024-05-13T00:00:00"/>
        <d v="2025-03-03T00:00:00"/>
        <d v="2024-11-02T00:00:00"/>
        <d v="2024-04-02T00:00:00"/>
        <d v="2025-02-01T00:00:00"/>
        <d v="2025-01-11T00:00:00"/>
        <d v="2025-03-14T00:00:00"/>
        <d v="2025-02-11T00:00:00"/>
        <d v="2024-12-04T00:00:00"/>
        <d v="2024-12-09T00:00:00"/>
        <d v="2024-06-27T00:00:00"/>
        <d v="2024-07-31T00:00:00"/>
        <d v="2025-01-17T00:00:00"/>
        <d v="2024-04-12T00:00:00"/>
        <d v="2024-08-02T00:00:00"/>
        <d v="2024-11-05T00:00:00"/>
        <d v="2024-08-12T00:00:00"/>
        <d v="2024-08-24T00:00:00"/>
        <d v="2024-10-08T00:00:00"/>
        <d v="2025-02-28T00:00:00"/>
        <d v="2024-03-28T00:00:00"/>
        <d v="2024-03-31T00:00:00"/>
        <d v="2024-05-12T00:00:00"/>
        <d v="2024-10-04T00:00:00"/>
        <d v="2024-08-19T00:00:00"/>
        <d v="2024-07-22T00:00:00"/>
        <d v="2024-09-03T00:00:00"/>
        <d v="2024-11-03T00:00:00"/>
        <d v="2024-04-16T00:00:00"/>
        <d v="2024-07-01T00:00:00"/>
        <d v="2024-05-11T00:00:00"/>
        <d v="2024-03-23T00:00:00"/>
        <d v="2024-08-27T00:00:00"/>
        <d v="2025-02-16T00:00:00"/>
        <d v="2024-11-24T00:00:00"/>
        <d v="2024-11-07T00:00:00"/>
        <d v="2024-04-14T00:00:00"/>
        <d v="2024-06-10T00:00:00"/>
        <d v="2025-02-02T00:00:00"/>
        <d v="2025-01-24T00:00:00"/>
        <d v="2024-09-23T00:00:00"/>
        <d v="2024-12-30T00:00:00"/>
        <d v="2024-06-25T00:00:00"/>
        <d v="2024-11-28T00:00:00"/>
        <d v="2024-08-20T00:00:00"/>
        <d v="2024-04-24T00:00:00"/>
        <d v="2024-10-21T00:00:00"/>
        <d v="2024-11-06T00:00:00"/>
        <d v="2025-02-14T00:00:00"/>
        <d v="2024-05-06T00:00:00"/>
        <d v="2024-09-17T00:00:00"/>
        <d v="2024-09-12T00:00:00"/>
        <d v="2024-03-19T00:00:00"/>
        <d v="2024-03-22T00:00:00"/>
        <d v="2025-03-13T00:00:00"/>
        <d v="2024-03-21T00:00:00"/>
        <d v="2024-04-10T00:00:00"/>
        <d v="2024-10-05T00:00:00"/>
        <d v="2024-05-19T00:00:00"/>
        <d v="2024-09-24T00:00:00"/>
        <d v="2024-08-25T00:00:00"/>
        <d v="2025-02-26T00:00:00"/>
        <d v="2024-04-23T00:00:00"/>
        <d v="2024-05-08T00:00:00"/>
        <d v="2025-03-05T00:00:00"/>
        <d v="2025-02-24T00:00:00"/>
        <d v="2025-01-22T00:00:00"/>
        <d v="2024-05-01T00:00:00"/>
        <d v="2024-07-06T00:00:00"/>
        <d v="2025-01-16T00:00:00"/>
        <d v="2024-03-27T00:00:00"/>
        <d v="2024-04-20T00:00:00"/>
        <d v="2025-02-09T00:00:00"/>
        <d v="2025-01-04T00:00:00"/>
        <d v="2024-06-28T00:00:00"/>
        <d v="2024-07-02T00:00:00"/>
        <d v="2024-06-16T00:00:00"/>
        <d v="2024-10-30T00:00:00"/>
      </sharedItems>
      <fieldGroup par="13"/>
    </cacheField>
    <cacheField name="Full Name" numFmtId="0">
      <sharedItems/>
    </cacheField>
    <cacheField name="Product" numFmtId="0">
      <sharedItems count="5">
        <s v="Laptop"/>
        <s v="Headphones"/>
        <s v="Smartwatch"/>
        <s v="Smartphone"/>
        <s v="Tablet"/>
      </sharedItems>
    </cacheField>
    <cacheField name="Categories" numFmtId="0">
      <sharedItems count="2">
        <s v=" Electronics"/>
        <s v=" Accessories"/>
      </sharedItems>
    </cacheField>
    <cacheField name="Quantity" numFmtId="0">
      <sharedItems containsSemiMixedTypes="0" containsString="0" containsNumber="1" containsInteger="1" minValue="1" maxValue="5"/>
    </cacheField>
    <cacheField name="Price Per Unit" numFmtId="0">
      <sharedItems containsSemiMixedTypes="0" containsString="0" containsNumber="1" containsInteger="1" minValue="5658" maxValue="49935"/>
    </cacheField>
    <cacheField name="Total Sales" numFmtId="0">
      <sharedItems containsSemiMixedTypes="0" containsString="0" containsNumber="1" containsInteger="1" minValue="5658" maxValue="242570"/>
    </cacheField>
    <cacheField name="Ratings" numFmtId="0">
      <sharedItems containsSemiMixedTypes="0" containsString="0" containsNumber="1" containsInteger="1" minValue="1" maxValue="5" count="5">
        <n v="3"/>
        <n v="5"/>
        <n v="2"/>
        <n v="1"/>
        <n v="4"/>
      </sharedItems>
    </cacheField>
    <cacheField name="City" numFmtId="0">
      <sharedItems count="100">
        <s v="Amberberg"/>
        <s v="North Cory"/>
        <s v="Carolborough"/>
        <s v="West Sophia"/>
        <s v="Parkborough"/>
        <s v="Weaverberg"/>
        <s v="Port Nicholas"/>
        <s v="Port Tiffany"/>
        <s v="Frankville"/>
        <s v="South Jacob"/>
        <s v="New Nicholasport"/>
        <s v="Taylorbury"/>
        <s v="West Tracyville"/>
        <s v="Port Julia"/>
        <s v="Lake Anthony"/>
        <s v="Morganmouth"/>
        <s v="Port Amanda"/>
        <s v="Lopezburgh"/>
        <s v="South Adam"/>
        <s v="Richardsonshire"/>
        <s v="East Davidshire"/>
        <s v="Wellston"/>
        <s v="Webermouth"/>
        <s v="West Johnland"/>
        <s v="Markbury"/>
        <s v="New Tyroneview"/>
        <s v="Amberstad"/>
        <s v="Coryville"/>
        <s v="Lake Raymond"/>
        <s v="New Mark"/>
        <s v="New Stephanieview"/>
        <s v="Thomasborough"/>
        <s v="New Haileybury"/>
        <s v="North Stephaniestad"/>
        <s v="Port Sethmouth"/>
        <s v="North Anthonybury"/>
        <s v="New Elizabeth"/>
        <s v="Bryanland"/>
        <s v="Lake Brian"/>
        <s v="South Lauraside"/>
        <s v="Nathanland"/>
        <s v="Anthonyhaven"/>
        <s v="Port Brookeborough"/>
        <s v="South Elizabethside"/>
        <s v="East Thomas"/>
        <s v="Shepherdport"/>
        <s v="West Danafort"/>
        <s v="Port Cory"/>
        <s v="Alexandershire"/>
        <s v="South Rachelton"/>
        <s v="New Vanessa"/>
        <s v="Kyleberg"/>
        <s v="Baileyfort"/>
        <s v="Angelaport"/>
        <s v="West Rachaelburgh"/>
        <s v="North Jeffreyville"/>
        <s v="Eduardomouth"/>
        <s v="North Williamside"/>
        <s v="Lake Kathytown"/>
        <s v="Port Barbara"/>
        <s v="New Christineport"/>
        <s v="Allisonhaven"/>
        <s v="Kristinmouth"/>
        <s v="South Susanside"/>
        <s v="North Stephanieland"/>
        <s v="New Meganfort"/>
        <s v="Martinezland"/>
        <s v="Millertown"/>
        <s v="West Matthew"/>
        <s v="Powellport"/>
        <s v="Smithside"/>
        <s v="North Brentbury"/>
        <s v="Rossburgh"/>
        <s v="Port Dustin"/>
        <s v="Lake Anthonymouth"/>
        <s v="Johnsonberg"/>
        <s v="Goodmanview"/>
        <s v="Christineberg"/>
        <s v="Port Rodneyville"/>
        <s v="South Judy"/>
        <s v="North Betty"/>
        <s v="Garretttown"/>
        <s v="North Linda"/>
        <s v="Millerfurt"/>
        <s v="Adamsbury"/>
        <s v="Port Julie"/>
        <s v="North Elizabeth"/>
        <s v="Robinsonmouth"/>
        <s v="Ambertown"/>
        <s v="New Alexis"/>
        <s v="North Wandaside"/>
        <s v="North Marthamouth"/>
        <s v="Jackmouth"/>
        <s v="North Erinchester"/>
        <s v="Lake Bradley"/>
        <s v="Patrickbury"/>
        <s v="North Ericport"/>
        <s v="New Andrew"/>
        <s v="Hunterbury"/>
        <s v="Rachelfort"/>
      </sharedItems>
    </cacheField>
    <cacheField name="Payment Method" numFmtId="0">
      <sharedItems count="4">
        <s v="UPI"/>
        <s v="Debit Card"/>
        <s v="Credit Card"/>
        <s v="Cash"/>
      </sharedItems>
    </cacheField>
    <cacheField name="Months (Date)" numFmtId="0" databaseField="0">
      <fieldGroup base="1">
        <rangePr groupBy="months" startDate="2024-03-19T00:00:00" endDate="2025-03-15T00:00:00"/>
        <groupItems count="14">
          <s v="&lt;19-03-2024"/>
          <s v="Jan"/>
          <s v="Feb"/>
          <s v="Mar"/>
          <s v="Apr"/>
          <s v="May"/>
          <s v="Jun"/>
          <s v="Jul"/>
          <s v="Aug"/>
          <s v="Sep"/>
          <s v="Oct"/>
          <s v="Nov"/>
          <s v="Dec"/>
          <s v="&gt;15-03-2025"/>
        </groupItems>
      </fieldGroup>
    </cacheField>
    <cacheField name="Quarters (Date)" numFmtId="0" databaseField="0">
      <fieldGroup base="1">
        <rangePr groupBy="quarters" startDate="2024-03-19T00:00:00" endDate="2025-03-15T00:00:00"/>
        <groupItems count="6">
          <s v="&lt;19-03-2024"/>
          <s v="Qtr1"/>
          <s v="Qtr2"/>
          <s v="Qtr3"/>
          <s v="Qtr4"/>
          <s v="&gt;15-03-2025"/>
        </groupItems>
      </fieldGroup>
    </cacheField>
    <cacheField name="Years (Date)" numFmtId="0" databaseField="0">
      <fieldGroup base="1">
        <rangePr groupBy="years" startDate="2024-03-19T00:00:00" endDate="2025-03-15T00:00:00"/>
        <groupItems count="4">
          <s v="&lt;19-03-2024"/>
          <s v="2024"/>
          <s v="2025"/>
          <s v="&gt;15-03-2025"/>
        </groupItems>
      </fieldGroup>
    </cacheField>
  </cacheFields>
  <extLst>
    <ext xmlns:x14="http://schemas.microsoft.com/office/spreadsheetml/2009/9/main" uri="{725AE2AE-9491-48be-B2B4-4EB974FC3084}">
      <x14:pivotCacheDefinition pivotCacheId="7629891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TXN-1001"/>
    <x v="0"/>
    <s v="Margaret  Robinson"/>
    <x v="0"/>
    <x v="0"/>
    <n v="1"/>
    <n v="31753"/>
    <n v="31753"/>
    <x v="0"/>
    <x v="0"/>
    <x v="0"/>
  </r>
  <r>
    <s v="TXN-1002"/>
    <x v="1"/>
    <s v="Ann Kramer"/>
    <x v="0"/>
    <x v="0"/>
    <n v="4"/>
    <n v="32859"/>
    <n v="131436"/>
    <x v="1"/>
    <x v="1"/>
    <x v="0"/>
  </r>
  <r>
    <s v="TXN-1003"/>
    <x v="2"/>
    <s v="Alexander Young"/>
    <x v="1"/>
    <x v="0"/>
    <n v="4"/>
    <n v="43765"/>
    <n v="175060"/>
    <x v="2"/>
    <x v="2"/>
    <x v="1"/>
  </r>
  <r>
    <s v="TXN-1004"/>
    <x v="3"/>
    <s v="Aaron Frank"/>
    <x v="2"/>
    <x v="0"/>
    <n v="2"/>
    <n v="29571"/>
    <n v="59142"/>
    <x v="2"/>
    <x v="3"/>
    <x v="2"/>
  </r>
  <r>
    <s v="TXN-1005"/>
    <x v="4"/>
    <s v="Brian Grant"/>
    <x v="1"/>
    <x v="1"/>
    <n v="2"/>
    <n v="19048"/>
    <n v="38096"/>
    <x v="0"/>
    <x v="4"/>
    <x v="0"/>
  </r>
  <r>
    <s v="TXN-1006"/>
    <x v="5"/>
    <s v="Mary Briggs"/>
    <x v="2"/>
    <x v="0"/>
    <n v="3"/>
    <n v="10863"/>
    <n v="32589"/>
    <x v="3"/>
    <x v="5"/>
    <x v="0"/>
  </r>
  <r>
    <s v="TXN-1007"/>
    <x v="6"/>
    <s v="Lauren Ramos"/>
    <x v="3"/>
    <x v="0"/>
    <n v="5"/>
    <n v="44524"/>
    <n v="222620"/>
    <x v="2"/>
    <x v="6"/>
    <x v="3"/>
  </r>
  <r>
    <s v="TXN-1008"/>
    <x v="7"/>
    <s v="Danielle Moore"/>
    <x v="3"/>
    <x v="0"/>
    <n v="5"/>
    <n v="15436"/>
    <n v="77180"/>
    <x v="4"/>
    <x v="7"/>
    <x v="2"/>
  </r>
  <r>
    <s v="TXN-1009"/>
    <x v="8"/>
    <s v="Thomas Stein"/>
    <x v="4"/>
    <x v="0"/>
    <n v="1"/>
    <n v="5658"/>
    <n v="5658"/>
    <x v="4"/>
    <x v="8"/>
    <x v="1"/>
  </r>
  <r>
    <s v="TXN-1010"/>
    <x v="9"/>
    <s v="Aaron Lowe"/>
    <x v="0"/>
    <x v="1"/>
    <n v="3"/>
    <n v="47796"/>
    <n v="143388"/>
    <x v="1"/>
    <x v="9"/>
    <x v="0"/>
  </r>
  <r>
    <s v="TXN-1011"/>
    <x v="10"/>
    <s v="Richard Ramirez"/>
    <x v="3"/>
    <x v="0"/>
    <n v="3"/>
    <n v="49935"/>
    <n v="149805"/>
    <x v="1"/>
    <x v="10"/>
    <x v="2"/>
  </r>
  <r>
    <s v="TXN-1012"/>
    <x v="11"/>
    <s v="Michael Lester"/>
    <x v="3"/>
    <x v="1"/>
    <n v="5"/>
    <n v="29955"/>
    <n v="149775"/>
    <x v="4"/>
    <x v="11"/>
    <x v="2"/>
  </r>
  <r>
    <s v="TXN-1013"/>
    <x v="12"/>
    <s v="Amber Gilbert"/>
    <x v="2"/>
    <x v="1"/>
    <n v="2"/>
    <n v="34794"/>
    <n v="69588"/>
    <x v="1"/>
    <x v="12"/>
    <x v="0"/>
  </r>
  <r>
    <s v="TXN-1014"/>
    <x v="4"/>
    <s v="Valerie Hendrix"/>
    <x v="0"/>
    <x v="0"/>
    <n v="4"/>
    <n v="48221"/>
    <n v="192884"/>
    <x v="2"/>
    <x v="13"/>
    <x v="1"/>
  </r>
  <r>
    <s v="TXN-1015"/>
    <x v="13"/>
    <s v="Matthew Sosa"/>
    <x v="1"/>
    <x v="0"/>
    <n v="5"/>
    <n v="21463"/>
    <n v="107315"/>
    <x v="3"/>
    <x v="14"/>
    <x v="2"/>
  </r>
  <r>
    <s v="TXN-1016"/>
    <x v="14"/>
    <s v="Dawn Allen"/>
    <x v="1"/>
    <x v="0"/>
    <n v="5"/>
    <n v="39728"/>
    <n v="198640"/>
    <x v="1"/>
    <x v="15"/>
    <x v="3"/>
  </r>
  <r>
    <s v="TXN-1017"/>
    <x v="15"/>
    <s v="Caroline Thornton"/>
    <x v="0"/>
    <x v="0"/>
    <n v="5"/>
    <n v="42251"/>
    <n v="211255"/>
    <x v="3"/>
    <x v="16"/>
    <x v="0"/>
  </r>
  <r>
    <s v="TXN-1018"/>
    <x v="16"/>
    <s v="Sara Anderson"/>
    <x v="2"/>
    <x v="1"/>
    <n v="2"/>
    <n v="28322"/>
    <n v="56644"/>
    <x v="1"/>
    <x v="17"/>
    <x v="0"/>
  </r>
  <r>
    <s v="TXN-1019"/>
    <x v="17"/>
    <s v="Adam Bell"/>
    <x v="4"/>
    <x v="1"/>
    <n v="4"/>
    <n v="37610"/>
    <n v="150440"/>
    <x v="2"/>
    <x v="18"/>
    <x v="1"/>
  </r>
  <r>
    <s v="TXN-1020"/>
    <x v="18"/>
    <s v="Charles Garcia"/>
    <x v="3"/>
    <x v="0"/>
    <n v="3"/>
    <n v="25494"/>
    <n v="76482"/>
    <x v="0"/>
    <x v="19"/>
    <x v="0"/>
  </r>
  <r>
    <s v="TXN-1021"/>
    <x v="19"/>
    <s v="Douglas Brown"/>
    <x v="0"/>
    <x v="0"/>
    <n v="3"/>
    <n v="30723"/>
    <n v="92169"/>
    <x v="4"/>
    <x v="20"/>
    <x v="0"/>
  </r>
  <r>
    <s v="TXN-1022"/>
    <x v="20"/>
    <s v="Melissa Padilla"/>
    <x v="1"/>
    <x v="1"/>
    <n v="4"/>
    <n v="48105"/>
    <n v="192420"/>
    <x v="3"/>
    <x v="21"/>
    <x v="1"/>
  </r>
  <r>
    <s v="TXN-1023"/>
    <x v="21"/>
    <s v="Thomas Cameron"/>
    <x v="1"/>
    <x v="0"/>
    <n v="5"/>
    <n v="40796"/>
    <n v="203980"/>
    <x v="4"/>
    <x v="22"/>
    <x v="3"/>
  </r>
  <r>
    <s v="TXN-1024"/>
    <x v="22"/>
    <s v="Michael Miller"/>
    <x v="1"/>
    <x v="1"/>
    <n v="5"/>
    <n v="21482"/>
    <n v="107410"/>
    <x v="0"/>
    <x v="23"/>
    <x v="2"/>
  </r>
  <r>
    <s v="TXN-1025"/>
    <x v="23"/>
    <s v="Eric Salazar"/>
    <x v="3"/>
    <x v="1"/>
    <n v="2"/>
    <n v="6288"/>
    <n v="12576"/>
    <x v="1"/>
    <x v="24"/>
    <x v="1"/>
  </r>
  <r>
    <s v="TXN-1026"/>
    <x v="24"/>
    <s v="Duane Mccormick"/>
    <x v="1"/>
    <x v="0"/>
    <n v="5"/>
    <n v="41016"/>
    <n v="205080"/>
    <x v="2"/>
    <x v="25"/>
    <x v="3"/>
  </r>
  <r>
    <s v="TXN-1027"/>
    <x v="25"/>
    <s v="Robert Christian"/>
    <x v="4"/>
    <x v="0"/>
    <n v="5"/>
    <n v="30289"/>
    <n v="151445"/>
    <x v="0"/>
    <x v="26"/>
    <x v="1"/>
  </r>
  <r>
    <s v="TXN-1028"/>
    <x v="26"/>
    <s v="John Mccullough"/>
    <x v="2"/>
    <x v="0"/>
    <n v="1"/>
    <n v="27553"/>
    <n v="27553"/>
    <x v="1"/>
    <x v="27"/>
    <x v="2"/>
  </r>
  <r>
    <s v="TXN-1029"/>
    <x v="27"/>
    <s v="Jessica Petty"/>
    <x v="0"/>
    <x v="1"/>
    <n v="4"/>
    <n v="35346"/>
    <n v="141384"/>
    <x v="4"/>
    <x v="28"/>
    <x v="3"/>
  </r>
  <r>
    <s v="TXN-1030"/>
    <x v="28"/>
    <s v="David Jenkins"/>
    <x v="1"/>
    <x v="0"/>
    <n v="5"/>
    <n v="7709"/>
    <n v="38545"/>
    <x v="1"/>
    <x v="29"/>
    <x v="2"/>
  </r>
  <r>
    <s v="TXN-1031"/>
    <x v="29"/>
    <s v="Patrick Russell"/>
    <x v="0"/>
    <x v="0"/>
    <n v="2"/>
    <n v="20832"/>
    <n v="41664"/>
    <x v="4"/>
    <x v="30"/>
    <x v="2"/>
  </r>
  <r>
    <s v="TXN-1032"/>
    <x v="30"/>
    <s v="Karen Jackson"/>
    <x v="0"/>
    <x v="1"/>
    <n v="1"/>
    <n v="28873"/>
    <n v="28873"/>
    <x v="4"/>
    <x v="31"/>
    <x v="0"/>
  </r>
  <r>
    <s v="TXN-1033"/>
    <x v="18"/>
    <s v="William Walker"/>
    <x v="3"/>
    <x v="1"/>
    <n v="1"/>
    <n v="27664"/>
    <n v="27664"/>
    <x v="4"/>
    <x v="32"/>
    <x v="1"/>
  </r>
  <r>
    <s v="TXN-1034"/>
    <x v="31"/>
    <s v="Marie Dougherty"/>
    <x v="0"/>
    <x v="1"/>
    <n v="5"/>
    <n v="31211"/>
    <n v="156055"/>
    <x v="1"/>
    <x v="33"/>
    <x v="2"/>
  </r>
  <r>
    <s v="TXN-1035"/>
    <x v="32"/>
    <s v="Jonathan Conrad"/>
    <x v="2"/>
    <x v="1"/>
    <n v="1"/>
    <n v="30680"/>
    <n v="30680"/>
    <x v="1"/>
    <x v="34"/>
    <x v="1"/>
  </r>
  <r>
    <s v="TXN-1036"/>
    <x v="33"/>
    <s v="Natalie Reed"/>
    <x v="2"/>
    <x v="1"/>
    <n v="1"/>
    <n v="13489"/>
    <n v="13489"/>
    <x v="0"/>
    <x v="35"/>
    <x v="1"/>
  </r>
  <r>
    <s v="TXN-1037"/>
    <x v="34"/>
    <s v="Lori Myers"/>
    <x v="2"/>
    <x v="0"/>
    <n v="3"/>
    <n v="42582"/>
    <n v="127746"/>
    <x v="1"/>
    <x v="36"/>
    <x v="3"/>
  </r>
  <r>
    <s v="TXN-1038"/>
    <x v="35"/>
    <s v="Jeffrey Walton"/>
    <x v="4"/>
    <x v="0"/>
    <n v="5"/>
    <n v="47488"/>
    <n v="237440"/>
    <x v="1"/>
    <x v="37"/>
    <x v="0"/>
  </r>
  <r>
    <s v="TXN-1039"/>
    <x v="36"/>
    <s v="Shelley Rivers"/>
    <x v="0"/>
    <x v="0"/>
    <n v="5"/>
    <n v="28497"/>
    <n v="142485"/>
    <x v="1"/>
    <x v="38"/>
    <x v="0"/>
  </r>
  <r>
    <s v="TXN-1040"/>
    <x v="37"/>
    <s v="Mr Baker"/>
    <x v="0"/>
    <x v="0"/>
    <n v="4"/>
    <n v="28511"/>
    <n v="114044"/>
    <x v="4"/>
    <x v="39"/>
    <x v="3"/>
  </r>
  <r>
    <s v="TXN-1041"/>
    <x v="38"/>
    <s v="Mia Eaton"/>
    <x v="2"/>
    <x v="1"/>
    <n v="3"/>
    <n v="17037"/>
    <n v="51111"/>
    <x v="1"/>
    <x v="40"/>
    <x v="0"/>
  </r>
  <r>
    <s v="TXN-1042"/>
    <x v="39"/>
    <s v="Stephanie Yoder"/>
    <x v="3"/>
    <x v="1"/>
    <n v="1"/>
    <n v="22041"/>
    <n v="22041"/>
    <x v="1"/>
    <x v="41"/>
    <x v="2"/>
  </r>
  <r>
    <s v="TXN-1043"/>
    <x v="40"/>
    <s v="David Ramsey"/>
    <x v="3"/>
    <x v="1"/>
    <n v="5"/>
    <n v="44743"/>
    <n v="223715"/>
    <x v="2"/>
    <x v="42"/>
    <x v="0"/>
  </r>
  <r>
    <s v="TXN-1044"/>
    <x v="41"/>
    <s v="Patrick Bishop"/>
    <x v="1"/>
    <x v="0"/>
    <n v="4"/>
    <n v="42657"/>
    <n v="170628"/>
    <x v="1"/>
    <x v="43"/>
    <x v="1"/>
  </r>
  <r>
    <s v="TXN-1045"/>
    <x v="42"/>
    <s v="Matthew Maynard"/>
    <x v="0"/>
    <x v="1"/>
    <n v="2"/>
    <n v="19111"/>
    <n v="38222"/>
    <x v="2"/>
    <x v="44"/>
    <x v="1"/>
  </r>
  <r>
    <s v="TXN-1046"/>
    <x v="15"/>
    <s v="Shari Thompson"/>
    <x v="0"/>
    <x v="1"/>
    <n v="4"/>
    <n v="22285"/>
    <n v="89140"/>
    <x v="4"/>
    <x v="45"/>
    <x v="3"/>
  </r>
  <r>
    <s v="TXN-1047"/>
    <x v="43"/>
    <s v="Luke Turner"/>
    <x v="2"/>
    <x v="1"/>
    <n v="1"/>
    <n v="40169"/>
    <n v="40169"/>
    <x v="1"/>
    <x v="46"/>
    <x v="3"/>
  </r>
  <r>
    <s v="TXN-1048"/>
    <x v="44"/>
    <s v="Mrs Potter"/>
    <x v="0"/>
    <x v="1"/>
    <n v="2"/>
    <n v="39615"/>
    <n v="79230"/>
    <x v="1"/>
    <x v="47"/>
    <x v="0"/>
  </r>
  <r>
    <s v="TXN-1049"/>
    <x v="45"/>
    <s v="Philip Cline"/>
    <x v="1"/>
    <x v="0"/>
    <n v="4"/>
    <n v="25176"/>
    <n v="100704"/>
    <x v="0"/>
    <x v="48"/>
    <x v="1"/>
  </r>
  <r>
    <s v="TXN-1050"/>
    <x v="46"/>
    <s v="Linda Barton"/>
    <x v="2"/>
    <x v="0"/>
    <n v="1"/>
    <n v="27031"/>
    <n v="27031"/>
    <x v="1"/>
    <x v="49"/>
    <x v="1"/>
  </r>
  <r>
    <s v="TXN-1051"/>
    <x v="27"/>
    <s v="Rachel Mcpherson"/>
    <x v="3"/>
    <x v="0"/>
    <n v="5"/>
    <n v="21029"/>
    <n v="105145"/>
    <x v="4"/>
    <x v="50"/>
    <x v="1"/>
  </r>
  <r>
    <s v="TXN-1052"/>
    <x v="47"/>
    <s v="Sydney Haney"/>
    <x v="3"/>
    <x v="0"/>
    <n v="4"/>
    <n v="27706"/>
    <n v="110824"/>
    <x v="1"/>
    <x v="51"/>
    <x v="1"/>
  </r>
  <r>
    <s v="TXN-1053"/>
    <x v="18"/>
    <s v="Rebecca Wise"/>
    <x v="3"/>
    <x v="0"/>
    <n v="3"/>
    <n v="10728"/>
    <n v="32184"/>
    <x v="1"/>
    <x v="52"/>
    <x v="0"/>
  </r>
  <r>
    <s v="TXN-1054"/>
    <x v="48"/>
    <s v="Brian Barnett"/>
    <x v="4"/>
    <x v="1"/>
    <n v="3"/>
    <n v="26980"/>
    <n v="80940"/>
    <x v="1"/>
    <x v="53"/>
    <x v="0"/>
  </r>
  <r>
    <s v="TXN-1055"/>
    <x v="49"/>
    <s v="Kevin Morris"/>
    <x v="0"/>
    <x v="0"/>
    <n v="5"/>
    <n v="20633"/>
    <n v="103165"/>
    <x v="0"/>
    <x v="54"/>
    <x v="1"/>
  </r>
  <r>
    <s v="TXN-1056"/>
    <x v="50"/>
    <s v="Vanessa Mcdonald"/>
    <x v="2"/>
    <x v="1"/>
    <n v="1"/>
    <n v="42023"/>
    <n v="42023"/>
    <x v="1"/>
    <x v="55"/>
    <x v="3"/>
  </r>
  <r>
    <s v="TXN-1057"/>
    <x v="51"/>
    <s v="Lisa Aguilar"/>
    <x v="1"/>
    <x v="1"/>
    <n v="3"/>
    <n v="27721"/>
    <n v="83163"/>
    <x v="2"/>
    <x v="56"/>
    <x v="2"/>
  </r>
  <r>
    <s v="TXN-1058"/>
    <x v="38"/>
    <s v="Christian Chung"/>
    <x v="3"/>
    <x v="0"/>
    <n v="3"/>
    <n v="24060"/>
    <n v="72180"/>
    <x v="1"/>
    <x v="57"/>
    <x v="3"/>
  </r>
  <r>
    <s v="TXN-1059"/>
    <x v="52"/>
    <s v="Daniel Banks"/>
    <x v="2"/>
    <x v="0"/>
    <n v="3"/>
    <n v="32971"/>
    <n v="98913"/>
    <x v="2"/>
    <x v="58"/>
    <x v="1"/>
  </r>
  <r>
    <s v="TXN-1060"/>
    <x v="53"/>
    <s v="Michael Smith"/>
    <x v="3"/>
    <x v="1"/>
    <n v="2"/>
    <n v="6227"/>
    <n v="12454"/>
    <x v="1"/>
    <x v="59"/>
    <x v="3"/>
  </r>
  <r>
    <s v="TXN-1061"/>
    <x v="54"/>
    <s v="Abigail Rodriguez"/>
    <x v="4"/>
    <x v="0"/>
    <n v="3"/>
    <n v="19681"/>
    <n v="59043"/>
    <x v="2"/>
    <x v="60"/>
    <x v="1"/>
  </r>
  <r>
    <s v="TXN-1062"/>
    <x v="55"/>
    <s v="Maria Figueroa"/>
    <x v="1"/>
    <x v="1"/>
    <n v="1"/>
    <n v="22055"/>
    <n v="22055"/>
    <x v="1"/>
    <x v="61"/>
    <x v="2"/>
  </r>
  <r>
    <s v="TXN-1063"/>
    <x v="46"/>
    <s v="Rebecca Patterson"/>
    <x v="1"/>
    <x v="0"/>
    <n v="3"/>
    <n v="48634"/>
    <n v="145902"/>
    <x v="0"/>
    <x v="62"/>
    <x v="3"/>
  </r>
  <r>
    <s v="TXN-1064"/>
    <x v="51"/>
    <s v="Larry Rogers"/>
    <x v="0"/>
    <x v="1"/>
    <n v="2"/>
    <n v="30958"/>
    <n v="61916"/>
    <x v="1"/>
    <x v="63"/>
    <x v="3"/>
  </r>
  <r>
    <s v="TXN-1065"/>
    <x v="56"/>
    <s v="Michelle Hayes"/>
    <x v="2"/>
    <x v="0"/>
    <n v="5"/>
    <n v="25475"/>
    <n v="127375"/>
    <x v="4"/>
    <x v="64"/>
    <x v="0"/>
  </r>
  <r>
    <s v="TXN-1066"/>
    <x v="57"/>
    <s v="Amanda Smith"/>
    <x v="1"/>
    <x v="0"/>
    <n v="2"/>
    <n v="23700"/>
    <n v="47400"/>
    <x v="3"/>
    <x v="65"/>
    <x v="2"/>
  </r>
  <r>
    <s v="TXN-1067"/>
    <x v="58"/>
    <s v="William Taylor"/>
    <x v="2"/>
    <x v="0"/>
    <n v="3"/>
    <n v="27893"/>
    <n v="83679"/>
    <x v="1"/>
    <x v="66"/>
    <x v="1"/>
  </r>
  <r>
    <s v="TXN-1068"/>
    <x v="59"/>
    <s v="Barbara Mills"/>
    <x v="4"/>
    <x v="1"/>
    <n v="3"/>
    <n v="42687"/>
    <n v="128061"/>
    <x v="4"/>
    <x v="67"/>
    <x v="3"/>
  </r>
  <r>
    <s v="TXN-1069"/>
    <x v="60"/>
    <s v="Bryan Perez"/>
    <x v="1"/>
    <x v="1"/>
    <n v="5"/>
    <n v="31043"/>
    <n v="155215"/>
    <x v="3"/>
    <x v="68"/>
    <x v="3"/>
  </r>
  <r>
    <s v="TXN-1070"/>
    <x v="61"/>
    <s v="John Bates"/>
    <x v="2"/>
    <x v="1"/>
    <n v="5"/>
    <n v="10701"/>
    <n v="53505"/>
    <x v="3"/>
    <x v="69"/>
    <x v="2"/>
  </r>
  <r>
    <s v="TXN-1071"/>
    <x v="62"/>
    <s v="Shawn Guzman"/>
    <x v="3"/>
    <x v="1"/>
    <n v="5"/>
    <n v="23417"/>
    <n v="117085"/>
    <x v="4"/>
    <x v="70"/>
    <x v="2"/>
  </r>
  <r>
    <s v="TXN-1072"/>
    <x v="63"/>
    <s v="Thomas Contreras"/>
    <x v="0"/>
    <x v="1"/>
    <n v="3"/>
    <n v="28666"/>
    <n v="85998"/>
    <x v="1"/>
    <x v="71"/>
    <x v="2"/>
  </r>
  <r>
    <s v="TXN-1073"/>
    <x v="64"/>
    <s v="Rick Lopez"/>
    <x v="1"/>
    <x v="0"/>
    <n v="4"/>
    <n v="38939"/>
    <n v="155756"/>
    <x v="1"/>
    <x v="72"/>
    <x v="1"/>
  </r>
  <r>
    <s v="TXN-1074"/>
    <x v="24"/>
    <s v="Taylor Bartlett"/>
    <x v="3"/>
    <x v="0"/>
    <n v="2"/>
    <n v="6527"/>
    <n v="13054"/>
    <x v="1"/>
    <x v="73"/>
    <x v="0"/>
  </r>
  <r>
    <s v="TXN-1075"/>
    <x v="65"/>
    <s v="Donald Parker"/>
    <x v="0"/>
    <x v="1"/>
    <n v="3"/>
    <n v="21333"/>
    <n v="63999"/>
    <x v="4"/>
    <x v="74"/>
    <x v="3"/>
  </r>
  <r>
    <s v="TXN-1076"/>
    <x v="66"/>
    <s v="Nicholas Avery"/>
    <x v="0"/>
    <x v="0"/>
    <n v="2"/>
    <n v="45231"/>
    <n v="90462"/>
    <x v="2"/>
    <x v="75"/>
    <x v="0"/>
  </r>
  <r>
    <s v="TXN-1077"/>
    <x v="67"/>
    <s v="Robert Giles"/>
    <x v="2"/>
    <x v="0"/>
    <n v="4"/>
    <n v="20451"/>
    <n v="81804"/>
    <x v="0"/>
    <x v="76"/>
    <x v="2"/>
  </r>
  <r>
    <s v="TXN-1078"/>
    <x v="68"/>
    <s v="Frank Harris"/>
    <x v="0"/>
    <x v="0"/>
    <n v="5"/>
    <n v="12503"/>
    <n v="62515"/>
    <x v="2"/>
    <x v="77"/>
    <x v="0"/>
  </r>
  <r>
    <s v="TXN-1079"/>
    <x v="69"/>
    <s v="Shannon MD"/>
    <x v="4"/>
    <x v="0"/>
    <n v="2"/>
    <n v="28922"/>
    <n v="57844"/>
    <x v="1"/>
    <x v="78"/>
    <x v="2"/>
  </r>
  <r>
    <s v="TXN-1080"/>
    <x v="43"/>
    <s v="Christopher Hunter"/>
    <x v="2"/>
    <x v="1"/>
    <n v="1"/>
    <n v="11309"/>
    <n v="11309"/>
    <x v="1"/>
    <x v="79"/>
    <x v="0"/>
  </r>
  <r>
    <s v="TXN-1081"/>
    <x v="70"/>
    <s v="Jennifer Martinez"/>
    <x v="2"/>
    <x v="0"/>
    <n v="1"/>
    <n v="22860"/>
    <n v="22860"/>
    <x v="1"/>
    <x v="80"/>
    <x v="1"/>
  </r>
  <r>
    <s v="TXN-1082"/>
    <x v="71"/>
    <s v="Amanda Watson"/>
    <x v="2"/>
    <x v="0"/>
    <n v="2"/>
    <n v="41202"/>
    <n v="82404"/>
    <x v="1"/>
    <x v="81"/>
    <x v="2"/>
  </r>
  <r>
    <s v="TXN-1083"/>
    <x v="72"/>
    <s v="Latasha Hoover"/>
    <x v="3"/>
    <x v="1"/>
    <n v="2"/>
    <n v="32675"/>
    <n v="65350"/>
    <x v="2"/>
    <x v="82"/>
    <x v="1"/>
  </r>
  <r>
    <s v="TXN-1084"/>
    <x v="73"/>
    <s v="Linda Rice"/>
    <x v="4"/>
    <x v="0"/>
    <n v="5"/>
    <n v="35934"/>
    <n v="179670"/>
    <x v="1"/>
    <x v="83"/>
    <x v="2"/>
  </r>
  <r>
    <s v="TXN-1085"/>
    <x v="74"/>
    <s v="Paul Green"/>
    <x v="1"/>
    <x v="1"/>
    <n v="1"/>
    <n v="40024"/>
    <n v="40024"/>
    <x v="1"/>
    <x v="84"/>
    <x v="1"/>
  </r>
  <r>
    <s v="TXN-1086"/>
    <x v="75"/>
    <s v="Daniel Grant"/>
    <x v="1"/>
    <x v="0"/>
    <n v="4"/>
    <n v="41137"/>
    <n v="164548"/>
    <x v="0"/>
    <x v="85"/>
    <x v="0"/>
  </r>
  <r>
    <s v="TXN-1087"/>
    <x v="5"/>
    <s v="Heather Peterson"/>
    <x v="3"/>
    <x v="1"/>
    <n v="2"/>
    <n v="28303"/>
    <n v="56606"/>
    <x v="1"/>
    <x v="86"/>
    <x v="0"/>
  </r>
  <r>
    <s v="TXN-1088"/>
    <x v="76"/>
    <s v="Amber Contreras"/>
    <x v="1"/>
    <x v="0"/>
    <n v="3"/>
    <n v="31681"/>
    <n v="95043"/>
    <x v="1"/>
    <x v="87"/>
    <x v="2"/>
  </r>
  <r>
    <s v="TXN-1089"/>
    <x v="77"/>
    <s v="James Walton"/>
    <x v="4"/>
    <x v="1"/>
    <n v="2"/>
    <n v="14080"/>
    <n v="28160"/>
    <x v="1"/>
    <x v="88"/>
    <x v="0"/>
  </r>
  <r>
    <s v="TXN-1090"/>
    <x v="78"/>
    <s v="Luis Brown"/>
    <x v="1"/>
    <x v="0"/>
    <n v="1"/>
    <n v="7703"/>
    <n v="7703"/>
    <x v="0"/>
    <x v="89"/>
    <x v="2"/>
  </r>
  <r>
    <s v="TXN-1091"/>
    <x v="61"/>
    <s v="Dustin Buck"/>
    <x v="4"/>
    <x v="0"/>
    <n v="5"/>
    <n v="48514"/>
    <n v="242570"/>
    <x v="4"/>
    <x v="90"/>
    <x v="1"/>
  </r>
  <r>
    <s v="TXN-1092"/>
    <x v="79"/>
    <s v="Kelly Walls"/>
    <x v="4"/>
    <x v="1"/>
    <n v="1"/>
    <n v="49914"/>
    <n v="49914"/>
    <x v="2"/>
    <x v="91"/>
    <x v="3"/>
  </r>
  <r>
    <s v="TXN-1093"/>
    <x v="80"/>
    <s v="Jon Rowe"/>
    <x v="1"/>
    <x v="1"/>
    <n v="2"/>
    <n v="19814"/>
    <n v="39628"/>
    <x v="1"/>
    <x v="92"/>
    <x v="0"/>
  </r>
  <r>
    <s v="TXN-1094"/>
    <x v="20"/>
    <s v="Sherri Li"/>
    <x v="4"/>
    <x v="1"/>
    <n v="4"/>
    <n v="30145"/>
    <n v="120580"/>
    <x v="1"/>
    <x v="93"/>
    <x v="0"/>
  </r>
  <r>
    <s v="TXN-1095"/>
    <x v="81"/>
    <s v="Paul Moore"/>
    <x v="3"/>
    <x v="0"/>
    <n v="1"/>
    <n v="22172"/>
    <n v="22172"/>
    <x v="1"/>
    <x v="94"/>
    <x v="0"/>
  </r>
  <r>
    <s v="TXN-1096"/>
    <x v="54"/>
    <s v="Joseph Young"/>
    <x v="0"/>
    <x v="0"/>
    <n v="3"/>
    <n v="9601"/>
    <n v="28803"/>
    <x v="3"/>
    <x v="95"/>
    <x v="2"/>
  </r>
  <r>
    <s v="TXN-1097"/>
    <x v="35"/>
    <s v="John DDS"/>
    <x v="0"/>
    <x v="1"/>
    <n v="1"/>
    <n v="8676"/>
    <n v="8676"/>
    <x v="1"/>
    <x v="96"/>
    <x v="3"/>
  </r>
  <r>
    <s v="TXN-1098"/>
    <x v="37"/>
    <s v="Joshua Fox"/>
    <x v="0"/>
    <x v="1"/>
    <n v="3"/>
    <n v="14540"/>
    <n v="43620"/>
    <x v="1"/>
    <x v="97"/>
    <x v="0"/>
  </r>
  <r>
    <s v="TXN-1099"/>
    <x v="76"/>
    <s v="Dennis Mann"/>
    <x v="4"/>
    <x v="0"/>
    <n v="4"/>
    <n v="37261"/>
    <n v="149044"/>
    <x v="1"/>
    <x v="98"/>
    <x v="1"/>
  </r>
  <r>
    <s v="TXN-1100"/>
    <x v="82"/>
    <s v="David Stewart"/>
    <x v="4"/>
    <x v="1"/>
    <n v="4"/>
    <n v="27020"/>
    <n v="108080"/>
    <x v="1"/>
    <x v="99"/>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2D82FB-F576-4C99-B97A-4E8D21BA8B9F}" name="Sales by Payment Method"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5:E20" firstHeaderRow="1" firstDataRow="1" firstDataCol="1"/>
  <pivotFields count="14">
    <pivotField showAll="0"/>
    <pivotField numFmtId="14" showAll="0">
      <items count="84">
        <item x="57"/>
        <item x="60"/>
        <item x="58"/>
        <item x="36"/>
        <item x="75"/>
        <item x="25"/>
        <item x="26"/>
        <item x="8"/>
        <item x="61"/>
        <item x="18"/>
        <item x="41"/>
        <item x="33"/>
        <item x="76"/>
        <item x="67"/>
        <item x="50"/>
        <item x="72"/>
        <item x="54"/>
        <item x="68"/>
        <item x="35"/>
        <item x="27"/>
        <item x="5"/>
        <item x="63"/>
        <item x="42"/>
        <item x="81"/>
        <item x="47"/>
        <item x="15"/>
        <item x="79"/>
        <item x="34"/>
        <item x="80"/>
        <item x="73"/>
        <item x="3"/>
        <item x="30"/>
        <item x="16"/>
        <item x="19"/>
        <item x="4"/>
        <item x="21"/>
        <item x="29"/>
        <item x="49"/>
        <item x="22"/>
        <item x="65"/>
        <item x="37"/>
        <item x="31"/>
        <item x="56"/>
        <item x="55"/>
        <item x="45"/>
        <item x="64"/>
        <item x="0"/>
        <item x="28"/>
        <item x="62"/>
        <item x="23"/>
        <item x="2"/>
        <item x="51"/>
        <item x="82"/>
        <item x="7"/>
        <item x="32"/>
        <item x="20"/>
        <item x="52"/>
        <item x="40"/>
        <item x="1"/>
        <item x="39"/>
        <item x="48"/>
        <item x="13"/>
        <item x="14"/>
        <item x="46"/>
        <item x="78"/>
        <item x="10"/>
        <item x="74"/>
        <item x="17"/>
        <item x="71"/>
        <item x="44"/>
        <item x="9"/>
        <item x="43"/>
        <item x="77"/>
        <item x="12"/>
        <item x="53"/>
        <item x="38"/>
        <item x="70"/>
        <item x="66"/>
        <item x="24"/>
        <item x="6"/>
        <item x="69"/>
        <item x="59"/>
        <item x="11"/>
        <item t="default"/>
      </items>
    </pivotField>
    <pivotField showAll="0"/>
    <pivotField showAll="0">
      <items count="6">
        <item x="1"/>
        <item x="0"/>
        <item x="3"/>
        <item x="2"/>
        <item x="4"/>
        <item t="default"/>
      </items>
    </pivotField>
    <pivotField showAll="0">
      <items count="3">
        <item x="1"/>
        <item x="0"/>
        <item t="default"/>
      </items>
    </pivotField>
    <pivotField showAll="0"/>
    <pivotField showAll="0"/>
    <pivotField dataField="1" showAll="0"/>
    <pivotField showAll="0"/>
    <pivotField showAll="0"/>
    <pivotField axis="axisRow" showAll="0">
      <items count="5">
        <item x="3"/>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5">
    <i>
      <x/>
    </i>
    <i>
      <x v="1"/>
    </i>
    <i>
      <x v="2"/>
    </i>
    <i>
      <x v="3"/>
    </i>
    <i t="grand">
      <x/>
    </i>
  </rowItems>
  <colItems count="1">
    <i/>
  </colItems>
  <dataFields count="1">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3364CC-DFB8-4B0B-903A-B26200EFA939}"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3:V8" firstHeaderRow="1" firstDataRow="1" firstDataCol="1"/>
  <pivotFields count="14">
    <pivotField showAll="0"/>
    <pivotField numFmtId="14" showAll="0">
      <items count="84">
        <item x="57"/>
        <item x="60"/>
        <item x="58"/>
        <item x="36"/>
        <item x="75"/>
        <item x="25"/>
        <item x="26"/>
        <item x="8"/>
        <item x="61"/>
        <item x="18"/>
        <item x="41"/>
        <item x="33"/>
        <item x="76"/>
        <item x="67"/>
        <item x="50"/>
        <item x="72"/>
        <item x="54"/>
        <item x="68"/>
        <item x="35"/>
        <item x="27"/>
        <item x="5"/>
        <item x="63"/>
        <item x="42"/>
        <item x="81"/>
        <item x="47"/>
        <item x="15"/>
        <item x="79"/>
        <item x="34"/>
        <item x="80"/>
        <item x="73"/>
        <item x="3"/>
        <item x="30"/>
        <item x="16"/>
        <item x="19"/>
        <item x="4"/>
        <item x="21"/>
        <item x="29"/>
        <item x="49"/>
        <item x="22"/>
        <item x="65"/>
        <item x="37"/>
        <item x="31"/>
        <item x="56"/>
        <item x="55"/>
        <item x="45"/>
        <item x="64"/>
        <item x="0"/>
        <item x="28"/>
        <item x="62"/>
        <item x="23"/>
        <item x="2"/>
        <item x="51"/>
        <item x="82"/>
        <item x="7"/>
        <item x="32"/>
        <item x="20"/>
        <item x="52"/>
        <item x="40"/>
        <item x="1"/>
        <item x="39"/>
        <item x="48"/>
        <item x="13"/>
        <item x="14"/>
        <item x="46"/>
        <item x="78"/>
        <item x="10"/>
        <item x="74"/>
        <item x="17"/>
        <item x="71"/>
        <item x="44"/>
        <item x="9"/>
        <item x="43"/>
        <item x="77"/>
        <item x="12"/>
        <item x="53"/>
        <item x="38"/>
        <item x="70"/>
        <item x="66"/>
        <item x="24"/>
        <item x="6"/>
        <item x="69"/>
        <item x="59"/>
        <item x="11"/>
        <item t="default"/>
      </items>
    </pivotField>
    <pivotField showAll="0"/>
    <pivotField showAll="0">
      <items count="6">
        <item x="1"/>
        <item x="0"/>
        <item x="3"/>
        <item x="2"/>
        <item x="4"/>
        <item t="default"/>
      </items>
    </pivotField>
    <pivotField showAll="0">
      <items count="3">
        <item x="1"/>
        <item x="0"/>
        <item t="default"/>
      </items>
    </pivotField>
    <pivotField showAll="0"/>
    <pivotField showAll="0"/>
    <pivotField dataField="1" showAll="0"/>
    <pivotField showAll="0"/>
    <pivotField showAll="0">
      <items count="101">
        <item x="84"/>
        <item x="48"/>
        <item x="61"/>
        <item x="0"/>
        <item x="26"/>
        <item x="88"/>
        <item x="53"/>
        <item x="41"/>
        <item x="52"/>
        <item x="37"/>
        <item x="2"/>
        <item x="77"/>
        <item x="27"/>
        <item x="20"/>
        <item x="44"/>
        <item x="56"/>
        <item x="8"/>
        <item x="81"/>
        <item x="76"/>
        <item x="98"/>
        <item x="92"/>
        <item x="75"/>
        <item x="62"/>
        <item x="51"/>
        <item x="14"/>
        <item x="74"/>
        <item x="94"/>
        <item x="38"/>
        <item x="58"/>
        <item x="28"/>
        <item x="17"/>
        <item x="24"/>
        <item x="66"/>
        <item x="83"/>
        <item x="67"/>
        <item x="15"/>
        <item x="40"/>
        <item x="89"/>
        <item x="97"/>
        <item x="60"/>
        <item x="36"/>
        <item x="32"/>
        <item x="29"/>
        <item x="65"/>
        <item x="10"/>
        <item x="30"/>
        <item x="25"/>
        <item x="50"/>
        <item x="35"/>
        <item x="80"/>
        <item x="71"/>
        <item x="1"/>
        <item x="86"/>
        <item x="96"/>
        <item x="93"/>
        <item x="55"/>
        <item x="82"/>
        <item x="91"/>
        <item x="64"/>
        <item x="33"/>
        <item x="90"/>
        <item x="57"/>
        <item x="4"/>
        <item x="95"/>
        <item x="16"/>
        <item x="59"/>
        <item x="42"/>
        <item x="47"/>
        <item x="73"/>
        <item x="13"/>
        <item x="85"/>
        <item x="6"/>
        <item x="78"/>
        <item x="34"/>
        <item x="7"/>
        <item x="69"/>
        <item x="99"/>
        <item x="19"/>
        <item x="87"/>
        <item x="72"/>
        <item x="45"/>
        <item x="70"/>
        <item x="18"/>
        <item x="43"/>
        <item x="9"/>
        <item x="79"/>
        <item x="39"/>
        <item x="49"/>
        <item x="63"/>
        <item x="11"/>
        <item x="31"/>
        <item x="5"/>
        <item x="22"/>
        <item x="21"/>
        <item x="46"/>
        <item x="23"/>
        <item x="68"/>
        <item x="54"/>
        <item x="3"/>
        <item x="12"/>
        <item t="default"/>
      </items>
    </pivotField>
    <pivotField axis="axisRow" showAll="0">
      <items count="5">
        <item x="3"/>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5">
    <i>
      <x/>
    </i>
    <i>
      <x v="1"/>
    </i>
    <i>
      <x v="2"/>
    </i>
    <i>
      <x v="3"/>
    </i>
    <i t="grand">
      <x/>
    </i>
  </rowItems>
  <colItems count="1">
    <i/>
  </colItems>
  <dataFields count="1">
    <dataField name="Count of Total Sales"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B11DEA-5379-4CD2-8FF5-3AAAFDD4A3B6}" name="Quantity Sold by Product_x0009__x0009_"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3:Q9" firstHeaderRow="1" firstDataRow="1" firstDataCol="1"/>
  <pivotFields count="14">
    <pivotField showAll="0"/>
    <pivotField numFmtId="14" showAll="0">
      <items count="84">
        <item x="57"/>
        <item x="60"/>
        <item x="58"/>
        <item x="36"/>
        <item x="75"/>
        <item x="25"/>
        <item x="26"/>
        <item x="8"/>
        <item x="61"/>
        <item x="18"/>
        <item x="41"/>
        <item x="33"/>
        <item x="76"/>
        <item x="67"/>
        <item x="50"/>
        <item x="72"/>
        <item x="54"/>
        <item x="68"/>
        <item x="35"/>
        <item x="27"/>
        <item x="5"/>
        <item x="63"/>
        <item x="42"/>
        <item x="81"/>
        <item x="47"/>
        <item x="15"/>
        <item x="79"/>
        <item x="34"/>
        <item x="80"/>
        <item x="73"/>
        <item x="3"/>
        <item x="30"/>
        <item x="16"/>
        <item x="19"/>
        <item x="4"/>
        <item x="21"/>
        <item x="29"/>
        <item x="49"/>
        <item x="22"/>
        <item x="65"/>
        <item x="37"/>
        <item x="31"/>
        <item x="56"/>
        <item x="55"/>
        <item x="45"/>
        <item x="64"/>
        <item x="0"/>
        <item x="28"/>
        <item x="62"/>
        <item x="23"/>
        <item x="2"/>
        <item x="51"/>
        <item x="82"/>
        <item x="7"/>
        <item x="32"/>
        <item x="20"/>
        <item x="52"/>
        <item x="40"/>
        <item x="1"/>
        <item x="39"/>
        <item x="48"/>
        <item x="13"/>
        <item x="14"/>
        <item x="46"/>
        <item x="78"/>
        <item x="10"/>
        <item x="74"/>
        <item x="17"/>
        <item x="71"/>
        <item x="44"/>
        <item x="9"/>
        <item x="43"/>
        <item x="77"/>
        <item x="12"/>
        <item x="53"/>
        <item x="38"/>
        <item x="70"/>
        <item x="66"/>
        <item x="24"/>
        <item x="6"/>
        <item x="69"/>
        <item x="59"/>
        <item x="11"/>
        <item t="default"/>
      </items>
    </pivotField>
    <pivotField showAll="0"/>
    <pivotField axis="axisRow" showAll="0">
      <items count="6">
        <item x="1"/>
        <item x="0"/>
        <item x="3"/>
        <item x="2"/>
        <item x="4"/>
        <item t="default"/>
      </items>
    </pivotField>
    <pivotField showAll="0">
      <items count="3">
        <item x="1"/>
        <item x="0"/>
        <item t="default"/>
      </items>
    </pivotField>
    <pivotField dataField="1" showAll="0"/>
    <pivotField showAll="0"/>
    <pivotField showAll="0"/>
    <pivotField showAll="0"/>
    <pivotField showAll="0">
      <items count="101">
        <item x="84"/>
        <item x="48"/>
        <item x="61"/>
        <item x="0"/>
        <item x="26"/>
        <item x="88"/>
        <item x="53"/>
        <item x="41"/>
        <item x="52"/>
        <item x="37"/>
        <item x="2"/>
        <item x="77"/>
        <item x="27"/>
        <item x="20"/>
        <item x="44"/>
        <item x="56"/>
        <item x="8"/>
        <item x="81"/>
        <item x="76"/>
        <item x="98"/>
        <item x="92"/>
        <item x="75"/>
        <item x="62"/>
        <item x="51"/>
        <item x="14"/>
        <item x="74"/>
        <item x="94"/>
        <item x="38"/>
        <item x="58"/>
        <item x="28"/>
        <item x="17"/>
        <item x="24"/>
        <item x="66"/>
        <item x="83"/>
        <item x="67"/>
        <item x="15"/>
        <item x="40"/>
        <item x="89"/>
        <item x="97"/>
        <item x="60"/>
        <item x="36"/>
        <item x="32"/>
        <item x="29"/>
        <item x="65"/>
        <item x="10"/>
        <item x="30"/>
        <item x="25"/>
        <item x="50"/>
        <item x="35"/>
        <item x="80"/>
        <item x="71"/>
        <item x="1"/>
        <item x="86"/>
        <item x="96"/>
        <item x="93"/>
        <item x="55"/>
        <item x="82"/>
        <item x="91"/>
        <item x="64"/>
        <item x="33"/>
        <item x="90"/>
        <item x="57"/>
        <item x="4"/>
        <item x="95"/>
        <item x="16"/>
        <item x="59"/>
        <item x="42"/>
        <item x="47"/>
        <item x="73"/>
        <item x="13"/>
        <item x="85"/>
        <item x="6"/>
        <item x="78"/>
        <item x="34"/>
        <item x="7"/>
        <item x="69"/>
        <item x="99"/>
        <item x="19"/>
        <item x="87"/>
        <item x="72"/>
        <item x="45"/>
        <item x="70"/>
        <item x="18"/>
        <item x="43"/>
        <item x="9"/>
        <item x="79"/>
        <item x="39"/>
        <item x="49"/>
        <item x="63"/>
        <item x="11"/>
        <item x="31"/>
        <item x="5"/>
        <item x="22"/>
        <item x="21"/>
        <item x="46"/>
        <item x="23"/>
        <item x="68"/>
        <item x="54"/>
        <item x="3"/>
        <item x="12"/>
        <item t="default"/>
      </items>
    </pivotField>
    <pivotField showAll="0">
      <items count="5">
        <item x="3"/>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Quantity"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FE039B-DBA7-4EA5-AA27-B5B75B8CCB11}" name="Top 10 cities by Sales"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N14" firstHeaderRow="1" firstDataRow="1" firstDataCol="1"/>
  <pivotFields count="14">
    <pivotField showAll="0"/>
    <pivotField numFmtId="14" showAll="0">
      <items count="84">
        <item x="57"/>
        <item x="60"/>
        <item x="58"/>
        <item x="36"/>
        <item x="75"/>
        <item x="25"/>
        <item x="26"/>
        <item x="8"/>
        <item x="61"/>
        <item x="18"/>
        <item x="41"/>
        <item x="33"/>
        <item x="76"/>
        <item x="67"/>
        <item x="50"/>
        <item x="72"/>
        <item x="54"/>
        <item x="68"/>
        <item x="35"/>
        <item x="27"/>
        <item x="5"/>
        <item x="63"/>
        <item x="42"/>
        <item x="81"/>
        <item x="47"/>
        <item x="15"/>
        <item x="79"/>
        <item x="34"/>
        <item x="80"/>
        <item x="73"/>
        <item x="3"/>
        <item x="30"/>
        <item x="16"/>
        <item x="19"/>
        <item x="4"/>
        <item x="21"/>
        <item x="29"/>
        <item x="49"/>
        <item x="22"/>
        <item x="65"/>
        <item x="37"/>
        <item x="31"/>
        <item x="56"/>
        <item x="55"/>
        <item x="45"/>
        <item x="64"/>
        <item x="0"/>
        <item x="28"/>
        <item x="62"/>
        <item x="23"/>
        <item x="2"/>
        <item x="51"/>
        <item x="82"/>
        <item x="7"/>
        <item x="32"/>
        <item x="20"/>
        <item x="52"/>
        <item x="40"/>
        <item x="1"/>
        <item x="39"/>
        <item x="48"/>
        <item x="13"/>
        <item x="14"/>
        <item x="46"/>
        <item x="78"/>
        <item x="10"/>
        <item x="74"/>
        <item x="17"/>
        <item x="71"/>
        <item x="44"/>
        <item x="9"/>
        <item x="43"/>
        <item x="77"/>
        <item x="12"/>
        <item x="53"/>
        <item x="38"/>
        <item x="70"/>
        <item x="66"/>
        <item x="24"/>
        <item x="6"/>
        <item x="69"/>
        <item x="59"/>
        <item x="11"/>
        <item t="default"/>
      </items>
    </pivotField>
    <pivotField showAll="0"/>
    <pivotField showAll="0">
      <items count="6">
        <item x="1"/>
        <item x="0"/>
        <item x="3"/>
        <item x="2"/>
        <item x="4"/>
        <item t="default"/>
      </items>
    </pivotField>
    <pivotField showAll="0">
      <items count="3">
        <item x="1"/>
        <item x="0"/>
        <item t="default"/>
      </items>
    </pivotField>
    <pivotField showAll="0"/>
    <pivotField showAll="0"/>
    <pivotField dataField="1" showAll="0"/>
    <pivotField showAll="0"/>
    <pivotField axis="axisRow" showAll="0" measureFilter="1" sortType="descending">
      <items count="101">
        <item x="84"/>
        <item x="48"/>
        <item x="61"/>
        <item x="0"/>
        <item x="26"/>
        <item x="88"/>
        <item x="53"/>
        <item x="41"/>
        <item x="52"/>
        <item x="37"/>
        <item x="2"/>
        <item x="77"/>
        <item x="27"/>
        <item x="20"/>
        <item x="44"/>
        <item x="56"/>
        <item x="8"/>
        <item x="81"/>
        <item x="76"/>
        <item x="98"/>
        <item x="92"/>
        <item x="75"/>
        <item x="62"/>
        <item x="51"/>
        <item x="14"/>
        <item x="74"/>
        <item x="94"/>
        <item x="38"/>
        <item x="58"/>
        <item x="28"/>
        <item x="17"/>
        <item x="24"/>
        <item x="66"/>
        <item x="83"/>
        <item x="67"/>
        <item x="15"/>
        <item x="40"/>
        <item x="89"/>
        <item x="97"/>
        <item x="60"/>
        <item x="36"/>
        <item x="32"/>
        <item x="29"/>
        <item x="65"/>
        <item x="10"/>
        <item x="30"/>
        <item x="25"/>
        <item x="50"/>
        <item x="35"/>
        <item x="80"/>
        <item x="71"/>
        <item x="1"/>
        <item x="86"/>
        <item x="96"/>
        <item x="93"/>
        <item x="55"/>
        <item x="82"/>
        <item x="91"/>
        <item x="64"/>
        <item x="33"/>
        <item x="90"/>
        <item x="57"/>
        <item x="4"/>
        <item x="95"/>
        <item x="16"/>
        <item x="59"/>
        <item x="42"/>
        <item x="47"/>
        <item x="73"/>
        <item x="13"/>
        <item x="85"/>
        <item x="6"/>
        <item x="78"/>
        <item x="34"/>
        <item x="7"/>
        <item x="69"/>
        <item x="99"/>
        <item x="19"/>
        <item x="87"/>
        <item x="72"/>
        <item x="45"/>
        <item x="70"/>
        <item x="18"/>
        <item x="43"/>
        <item x="9"/>
        <item x="79"/>
        <item x="39"/>
        <item x="49"/>
        <item x="63"/>
        <item x="11"/>
        <item x="31"/>
        <item x="5"/>
        <item x="22"/>
        <item x="21"/>
        <item x="46"/>
        <item x="23"/>
        <item x="68"/>
        <item x="54"/>
        <item x="3"/>
        <item x="12"/>
        <item t="default"/>
      </items>
      <autoSortScope>
        <pivotArea dataOnly="0" outline="0" fieldPosition="0">
          <references count="1">
            <reference field="4294967294" count="1" selected="0">
              <x v="0"/>
            </reference>
          </references>
        </pivotArea>
      </autoSortScope>
    </pivotField>
    <pivotField showAll="0">
      <items count="5">
        <item x="3"/>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11">
    <i>
      <x v="60"/>
    </i>
    <i>
      <x v="9"/>
    </i>
    <i>
      <x v="66"/>
    </i>
    <i>
      <x v="71"/>
    </i>
    <i>
      <x v="64"/>
    </i>
    <i>
      <x v="46"/>
    </i>
    <i>
      <x v="92"/>
    </i>
    <i>
      <x v="35"/>
    </i>
    <i>
      <x v="69"/>
    </i>
    <i>
      <x v="93"/>
    </i>
    <i t="grand">
      <x/>
    </i>
  </rowItems>
  <colItems count="1">
    <i/>
  </colItems>
  <dataFields count="1">
    <dataField name="Top 10 cities" fld="7" baseField="9" baseItem="6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A2A7C0-F188-4D0E-BEBC-813359F18DA3}"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K9" firstHeaderRow="1" firstDataRow="1" firstDataCol="1"/>
  <pivotFields count="14">
    <pivotField showAll="0"/>
    <pivotField numFmtId="14" showAll="0">
      <items count="84">
        <item x="57"/>
        <item x="60"/>
        <item x="58"/>
        <item x="36"/>
        <item x="75"/>
        <item x="25"/>
        <item x="26"/>
        <item x="8"/>
        <item x="61"/>
        <item x="18"/>
        <item x="41"/>
        <item x="33"/>
        <item x="76"/>
        <item x="67"/>
        <item x="50"/>
        <item x="72"/>
        <item x="54"/>
        <item x="68"/>
        <item x="35"/>
        <item x="27"/>
        <item x="5"/>
        <item x="63"/>
        <item x="42"/>
        <item x="81"/>
        <item x="47"/>
        <item x="15"/>
        <item x="79"/>
        <item x="34"/>
        <item x="80"/>
        <item x="73"/>
        <item x="3"/>
        <item x="30"/>
        <item x="16"/>
        <item x="19"/>
        <item x="4"/>
        <item x="21"/>
        <item x="29"/>
        <item x="49"/>
        <item x="22"/>
        <item x="65"/>
        <item x="37"/>
        <item x="31"/>
        <item x="56"/>
        <item x="55"/>
        <item x="45"/>
        <item x="64"/>
        <item x="0"/>
        <item x="28"/>
        <item x="62"/>
        <item x="23"/>
        <item x="2"/>
        <item x="51"/>
        <item x="82"/>
        <item x="7"/>
        <item x="32"/>
        <item x="20"/>
        <item x="52"/>
        <item x="40"/>
        <item x="1"/>
        <item x="39"/>
        <item x="48"/>
        <item x="13"/>
        <item x="14"/>
        <item x="46"/>
        <item x="78"/>
        <item x="10"/>
        <item x="74"/>
        <item x="17"/>
        <item x="71"/>
        <item x="44"/>
        <item x="9"/>
        <item x="43"/>
        <item x="77"/>
        <item x="12"/>
        <item x="53"/>
        <item x="38"/>
        <item x="70"/>
        <item x="66"/>
        <item x="24"/>
        <item x="6"/>
        <item x="69"/>
        <item x="59"/>
        <item x="11"/>
        <item t="default"/>
      </items>
    </pivotField>
    <pivotField showAll="0"/>
    <pivotField showAll="0">
      <items count="6">
        <item x="1"/>
        <item x="0"/>
        <item x="3"/>
        <item x="2"/>
        <item x="4"/>
        <item t="default"/>
      </items>
    </pivotField>
    <pivotField showAll="0">
      <items count="3">
        <item x="1"/>
        <item x="0"/>
        <item t="default"/>
      </items>
    </pivotField>
    <pivotField showAll="0"/>
    <pivotField showAll="0"/>
    <pivotField showAll="0"/>
    <pivotField axis="axisRow" dataField="1" showAll="0">
      <items count="6">
        <item x="3"/>
        <item x="2"/>
        <item x="0"/>
        <item x="4"/>
        <item x="1"/>
        <item t="default"/>
      </items>
    </pivotField>
    <pivotField showAll="0">
      <items count="101">
        <item x="84"/>
        <item x="48"/>
        <item x="61"/>
        <item x="0"/>
        <item x="26"/>
        <item x="88"/>
        <item x="53"/>
        <item x="41"/>
        <item x="52"/>
        <item x="37"/>
        <item x="2"/>
        <item x="77"/>
        <item x="27"/>
        <item x="20"/>
        <item x="44"/>
        <item x="56"/>
        <item x="8"/>
        <item x="81"/>
        <item x="76"/>
        <item x="98"/>
        <item x="92"/>
        <item x="75"/>
        <item x="62"/>
        <item x="51"/>
        <item x="14"/>
        <item x="74"/>
        <item x="94"/>
        <item x="38"/>
        <item x="58"/>
        <item x="28"/>
        <item x="17"/>
        <item x="24"/>
        <item x="66"/>
        <item x="83"/>
        <item x="67"/>
        <item x="15"/>
        <item x="40"/>
        <item x="89"/>
        <item x="97"/>
        <item x="60"/>
        <item x="36"/>
        <item x="32"/>
        <item x="29"/>
        <item x="65"/>
        <item x="10"/>
        <item x="30"/>
        <item x="25"/>
        <item x="50"/>
        <item x="35"/>
        <item x="80"/>
        <item x="71"/>
        <item x="1"/>
        <item x="86"/>
        <item x="96"/>
        <item x="93"/>
        <item x="55"/>
        <item x="82"/>
        <item x="91"/>
        <item x="64"/>
        <item x="33"/>
        <item x="90"/>
        <item x="57"/>
        <item x="4"/>
        <item x="95"/>
        <item x="16"/>
        <item x="59"/>
        <item x="42"/>
        <item x="47"/>
        <item x="73"/>
        <item x="13"/>
        <item x="85"/>
        <item x="6"/>
        <item x="78"/>
        <item x="34"/>
        <item x="7"/>
        <item x="69"/>
        <item x="99"/>
        <item x="19"/>
        <item x="87"/>
        <item x="72"/>
        <item x="45"/>
        <item x="70"/>
        <item x="18"/>
        <item x="43"/>
        <item x="9"/>
        <item x="79"/>
        <item x="39"/>
        <item x="49"/>
        <item x="63"/>
        <item x="11"/>
        <item x="31"/>
        <item x="5"/>
        <item x="22"/>
        <item x="21"/>
        <item x="46"/>
        <item x="23"/>
        <item x="68"/>
        <item x="54"/>
        <item x="3"/>
        <item x="12"/>
        <item t="default"/>
      </items>
    </pivotField>
    <pivotField showAll="0">
      <items count="5">
        <item x="3"/>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6">
    <i>
      <x/>
    </i>
    <i>
      <x v="1"/>
    </i>
    <i>
      <x v="2"/>
    </i>
    <i>
      <x v="3"/>
    </i>
    <i>
      <x v="4"/>
    </i>
    <i t="grand">
      <x/>
    </i>
  </rowItems>
  <colItems count="1">
    <i/>
  </colItems>
  <dataFields count="1">
    <dataField name="Count of Ratings" fld="8" subtotal="count"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8" count="1" selected="0">
            <x v="0"/>
          </reference>
        </references>
      </pivotArea>
    </chartFormat>
    <chartFormat chart="3" format="9">
      <pivotArea type="data" outline="0" fieldPosition="0">
        <references count="2">
          <reference field="4294967294" count="1" selected="0">
            <x v="0"/>
          </reference>
          <reference field="8" count="1" selected="0">
            <x v="1"/>
          </reference>
        </references>
      </pivotArea>
    </chartFormat>
    <chartFormat chart="3" format="10">
      <pivotArea type="data" outline="0" fieldPosition="0">
        <references count="2">
          <reference field="4294967294" count="1" selected="0">
            <x v="0"/>
          </reference>
          <reference field="8" count="1" selected="0">
            <x v="2"/>
          </reference>
        </references>
      </pivotArea>
    </chartFormat>
    <chartFormat chart="3" format="11">
      <pivotArea type="data" outline="0" fieldPosition="0">
        <references count="2">
          <reference field="4294967294" count="1" selected="0">
            <x v="0"/>
          </reference>
          <reference field="8" count="1" selected="0">
            <x v="3"/>
          </reference>
        </references>
      </pivotArea>
    </chartFormat>
    <chartFormat chart="3" format="1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515EE0-CAC4-428C-8B8E-08A05F42852D}" name="Monthly Sales Trend"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G3:H16" firstHeaderRow="1" firstDataRow="1" firstDataCol="1"/>
  <pivotFields count="14">
    <pivotField showAll="0"/>
    <pivotField numFmtId="14" showAll="0">
      <items count="84">
        <item x="57"/>
        <item x="60"/>
        <item x="58"/>
        <item x="36"/>
        <item x="75"/>
        <item x="25"/>
        <item x="26"/>
        <item x="8"/>
        <item x="61"/>
        <item x="18"/>
        <item x="41"/>
        <item x="33"/>
        <item x="76"/>
        <item x="67"/>
        <item x="50"/>
        <item x="72"/>
        <item x="54"/>
        <item x="68"/>
        <item x="35"/>
        <item x="27"/>
        <item x="5"/>
        <item x="63"/>
        <item x="42"/>
        <item x="81"/>
        <item x="47"/>
        <item x="15"/>
        <item x="79"/>
        <item x="34"/>
        <item x="80"/>
        <item x="73"/>
        <item x="3"/>
        <item x="30"/>
        <item x="16"/>
        <item x="19"/>
        <item x="4"/>
        <item x="21"/>
        <item x="29"/>
        <item x="49"/>
        <item x="22"/>
        <item x="65"/>
        <item x="37"/>
        <item x="31"/>
        <item x="56"/>
        <item x="55"/>
        <item x="45"/>
        <item x="64"/>
        <item x="0"/>
        <item x="28"/>
        <item x="62"/>
        <item x="23"/>
        <item x="2"/>
        <item x="51"/>
        <item x="82"/>
        <item x="7"/>
        <item x="32"/>
        <item x="20"/>
        <item x="52"/>
        <item x="40"/>
        <item x="1"/>
        <item x="39"/>
        <item x="48"/>
        <item x="13"/>
        <item x="14"/>
        <item x="46"/>
        <item x="78"/>
        <item x="10"/>
        <item x="74"/>
        <item x="17"/>
        <item x="71"/>
        <item x="44"/>
        <item x="9"/>
        <item x="43"/>
        <item x="77"/>
        <item x="12"/>
        <item x="53"/>
        <item x="38"/>
        <item x="70"/>
        <item x="66"/>
        <item x="24"/>
        <item x="6"/>
        <item x="69"/>
        <item x="59"/>
        <item x="11"/>
        <item t="default"/>
      </items>
    </pivotField>
    <pivotField showAll="0"/>
    <pivotField showAll="0">
      <items count="6">
        <item x="1"/>
        <item x="0"/>
        <item x="3"/>
        <item x="2"/>
        <item x="4"/>
        <item t="default"/>
      </items>
    </pivotField>
    <pivotField showAll="0">
      <items count="3">
        <item x="1"/>
        <item x="0"/>
        <item t="default"/>
      </items>
    </pivotField>
    <pivotField showAll="0"/>
    <pivotField showAll="0"/>
    <pivotField dataField="1" showAll="0"/>
    <pivotField showAll="0"/>
    <pivotField showAll="0"/>
    <pivotField showAll="0">
      <items count="5">
        <item x="3"/>
        <item x="2"/>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Total Sales" fld="7"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FBE207-965D-4720-9397-D11808E9BB04}" name="Sales By Products"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9" firstHeaderRow="1" firstDataRow="1" firstDataCol="1"/>
  <pivotFields count="14">
    <pivotField showAll="0"/>
    <pivotField numFmtId="14" showAll="0">
      <items count="84">
        <item x="57"/>
        <item x="60"/>
        <item x="58"/>
        <item x="36"/>
        <item x="75"/>
        <item x="25"/>
        <item x="26"/>
        <item x="8"/>
        <item x="61"/>
        <item x="18"/>
        <item x="41"/>
        <item x="33"/>
        <item x="76"/>
        <item x="67"/>
        <item x="50"/>
        <item x="72"/>
        <item x="54"/>
        <item x="68"/>
        <item x="35"/>
        <item x="27"/>
        <item x="5"/>
        <item x="63"/>
        <item x="42"/>
        <item x="81"/>
        <item x="47"/>
        <item x="15"/>
        <item x="79"/>
        <item x="34"/>
        <item x="80"/>
        <item x="73"/>
        <item x="3"/>
        <item x="30"/>
        <item x="16"/>
        <item x="19"/>
        <item x="4"/>
        <item x="21"/>
        <item x="29"/>
        <item x="49"/>
        <item x="22"/>
        <item x="65"/>
        <item x="37"/>
        <item x="31"/>
        <item x="56"/>
        <item x="55"/>
        <item x="45"/>
        <item x="64"/>
        <item x="0"/>
        <item x="28"/>
        <item x="62"/>
        <item x="23"/>
        <item x="2"/>
        <item x="51"/>
        <item x="82"/>
        <item x="7"/>
        <item x="32"/>
        <item x="20"/>
        <item x="52"/>
        <item x="40"/>
        <item x="1"/>
        <item x="39"/>
        <item x="48"/>
        <item x="13"/>
        <item x="14"/>
        <item x="46"/>
        <item x="78"/>
        <item x="10"/>
        <item x="74"/>
        <item x="17"/>
        <item x="71"/>
        <item x="44"/>
        <item x="9"/>
        <item x="43"/>
        <item x="77"/>
        <item x="12"/>
        <item x="53"/>
        <item x="38"/>
        <item x="70"/>
        <item x="66"/>
        <item x="24"/>
        <item x="6"/>
        <item x="69"/>
        <item x="59"/>
        <item x="11"/>
        <item t="default"/>
      </items>
    </pivotField>
    <pivotField showAll="0"/>
    <pivotField axis="axisRow" showAll="0">
      <items count="6">
        <item x="1"/>
        <item x="0"/>
        <item x="3"/>
        <item x="2"/>
        <item x="4"/>
        <item t="default"/>
      </items>
    </pivotField>
    <pivotField showAll="0">
      <items count="3">
        <item x="1"/>
        <item x="0"/>
        <item t="default"/>
      </items>
    </pivotField>
    <pivotField showAll="0"/>
    <pivotField showAll="0"/>
    <pivotField dataField="1" showAll="0"/>
    <pivotField showAll="0"/>
    <pivotField showAll="0"/>
    <pivotField showAll="0">
      <items count="5">
        <item x="3"/>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Total Sales" fld="7"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3F1CB7-18F9-4783-AA09-677292855784}" name="Sales by Cetegories"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14">
    <pivotField showAll="0"/>
    <pivotField numFmtId="14" showAll="0">
      <items count="84">
        <item x="57"/>
        <item x="60"/>
        <item x="58"/>
        <item x="36"/>
        <item x="75"/>
        <item x="25"/>
        <item x="26"/>
        <item x="8"/>
        <item x="61"/>
        <item x="18"/>
        <item x="41"/>
        <item x="33"/>
        <item x="76"/>
        <item x="67"/>
        <item x="50"/>
        <item x="72"/>
        <item x="54"/>
        <item x="68"/>
        <item x="35"/>
        <item x="27"/>
        <item x="5"/>
        <item x="63"/>
        <item x="42"/>
        <item x="81"/>
        <item x="47"/>
        <item x="15"/>
        <item x="79"/>
        <item x="34"/>
        <item x="80"/>
        <item x="73"/>
        <item x="3"/>
        <item x="30"/>
        <item x="16"/>
        <item x="19"/>
        <item x="4"/>
        <item x="21"/>
        <item x="29"/>
        <item x="49"/>
        <item x="22"/>
        <item x="65"/>
        <item x="37"/>
        <item x="31"/>
        <item x="56"/>
        <item x="55"/>
        <item x="45"/>
        <item x="64"/>
        <item x="0"/>
        <item x="28"/>
        <item x="62"/>
        <item x="23"/>
        <item x="2"/>
        <item x="51"/>
        <item x="82"/>
        <item x="7"/>
        <item x="32"/>
        <item x="20"/>
        <item x="52"/>
        <item x="40"/>
        <item x="1"/>
        <item x="39"/>
        <item x="48"/>
        <item x="13"/>
        <item x="14"/>
        <item x="46"/>
        <item x="78"/>
        <item x="10"/>
        <item x="74"/>
        <item x="17"/>
        <item x="71"/>
        <item x="44"/>
        <item x="9"/>
        <item x="43"/>
        <item x="77"/>
        <item x="12"/>
        <item x="53"/>
        <item x="38"/>
        <item x="70"/>
        <item x="66"/>
        <item x="24"/>
        <item x="6"/>
        <item x="69"/>
        <item x="59"/>
        <item x="11"/>
        <item t="default"/>
      </items>
    </pivotField>
    <pivotField showAll="0"/>
    <pivotField showAll="0"/>
    <pivotField axis="axisRow" showAll="0">
      <items count="3">
        <item x="1"/>
        <item x="0"/>
        <item t="default"/>
      </items>
    </pivotField>
    <pivotField showAll="0"/>
    <pivotField showAll="0"/>
    <pivotField dataField="1" showAll="0"/>
    <pivotField showAll="0"/>
    <pivotField showAll="0"/>
    <pivotField showAll="0">
      <items count="5">
        <item x="3"/>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3">
    <i>
      <x/>
    </i>
    <i>
      <x v="1"/>
    </i>
    <i t="grand">
      <x/>
    </i>
  </rowItems>
  <colItems count="1">
    <i/>
  </colItems>
  <dataFields count="1">
    <dataField name="Sum of Total Sales" fld="7" baseField="0" baseItem="0"/>
  </dataField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4" count="1" selected="0">
            <x v="0"/>
          </reference>
        </references>
      </pivotArea>
    </chartFormat>
    <chartFormat chart="11"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0077F09-6FF8-436F-A47D-0BFD0ACCE38E}" autoFormatId="16" applyNumberFormats="0" applyBorderFormats="0" applyFontFormats="0" applyPatternFormats="0" applyAlignmentFormats="0" applyWidthHeightFormats="0">
  <queryTableRefresh nextId="12">
    <queryTableFields count="11">
      <queryTableField id="1" name="Transaction ID" tableColumnId="1"/>
      <queryTableField id="2" name="Date" tableColumnId="2"/>
      <queryTableField id="3" name="Full Name" tableColumnId="3"/>
      <queryTableField id="4" name="Product" tableColumnId="4"/>
      <queryTableField id="5" name="Categories" tableColumnId="5"/>
      <queryTableField id="6" name="Quantity" tableColumnId="6"/>
      <queryTableField id="7" name="Price Per Unit" tableColumnId="7"/>
      <queryTableField id="8" name="Total Sales" tableColumnId="8"/>
      <queryTableField id="9" name="Ratings" tableColumnId="9"/>
      <queryTableField id="10" name="City" tableColumnId="10"/>
      <queryTableField id="11" name="Payment Method" tableColumnId="11"/>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UPI</v>
    <v>2</v>
    <v>6</v>
    <v>5</v>
  </rv>
  <rv s="0">
    <v>Debit Card</v>
    <v>2</v>
    <v>6</v>
    <v>5</v>
  </rv>
  <rv s="0">
    <v>Credit Card</v>
    <v>2</v>
    <v>6</v>
    <v>5</v>
  </rv>
  <rv s="0">
    <v>Cash</v>
    <v>2</v>
    <v>6</v>
    <v>5</v>
  </rv>
</rvData>
</file>

<file path=xl/richData/rdrichvaluestructure.xml><?xml version="1.0" encoding="utf-8"?>
<rvStructures xmlns="http://schemas.microsoft.com/office/spreadsheetml/2017/richdata" count="1">
  <s t="_error">
    <k n="argument" t="s"/>
    <k n="errorType" t="i"/>
    <k n="ptg"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6E3CA3B6-87DE-4182-9A61-CC17B1ADAC46}" sourceName="Months (Date)">
  <pivotTables>
    <pivotTable tabId="3" name="Sales By Products"/>
    <pivotTable tabId="3" name="Monthly Sales Trend"/>
    <pivotTable tabId="3" name="Quantity Sold by Product_x0009__x0009_"/>
    <pivotTable tabId="3" name="Sales by Cetegories"/>
    <pivotTable tabId="3" name="Sales by Payment Method"/>
    <pivotTable tabId="3" name="Top 10 cities by Sales"/>
  </pivotTables>
  <data>
    <tabular pivotCacheId="762989174">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1945350-B236-47B5-A839-C6C242BB9AFD}" sourceName="Payment Method">
  <pivotTables>
    <pivotTable tabId="3" name="Sales By Products"/>
    <pivotTable tabId="3" name="Monthly Sales Trend"/>
    <pivotTable tabId="3" name="Quantity Sold by Product_x0009__x0009_"/>
    <pivotTable tabId="3" name="Sales by Cetegories"/>
    <pivotTable tabId="3" name="Sales by Payment Method"/>
    <pivotTable tabId="3" name="Top 10 cities by Sales"/>
  </pivotTables>
  <data>
    <tabular pivotCacheId="762989174">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es" xr10:uid="{B54A58D2-260F-4651-8BBF-27CF005E528F}" sourceName="Categories">
  <pivotTables>
    <pivotTable tabId="3" name="Sales By Products"/>
    <pivotTable tabId="3" name="Monthly Sales Trend"/>
    <pivotTable tabId="3" name="Quantity Sold by Product_x0009__x0009_"/>
    <pivotTable tabId="3" name="Sales by Cetegories"/>
    <pivotTable tabId="3" name="Sales by Payment Method"/>
    <pivotTable tabId="3" name="Top 10 cities by Sales"/>
  </pivotTables>
  <data>
    <tabular pivotCacheId="76298917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39099E6-6AD9-446E-8A65-1C45C0FBA0EA}" sourceName="Product">
  <pivotTables>
    <pivotTable tabId="3" name="Sales By Products"/>
  </pivotTables>
  <data>
    <tabular pivotCacheId="762989174">
      <items count="5">
        <i x="1" s="1"/>
        <i x="0" s="1"/>
        <i x="3" s="1"/>
        <i x="2"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D59EECD7-171E-4A20-BA86-B47CC6B758EA}" sourceName="Years (Date)">
  <pivotTables>
    <pivotTable tabId="3" name="Monthly Sales Trend"/>
    <pivotTable tabId="3" name="Quantity Sold by Product_x0009__x0009_"/>
    <pivotTable tabId="3" name="Sales by Cetegories"/>
    <pivotTable tabId="3" name="Sales by Payment Method"/>
    <pivotTable tabId="3" name="Sales By Products"/>
    <pivotTable tabId="3" name="Top 10 cities by Sales"/>
  </pivotTables>
  <data>
    <tabular pivotCacheId="762989174">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E0E244B3-B0E7-4CA4-BACC-F318E208948D}" cache="Slicer_Months__Date" caption="Months (Date)" columnCount="12" showCaption="0" style="SlicerStyleDark5" rowHeight="323850"/>
  <slicer name="Payment Method" xr10:uid="{1AB2DB08-65FC-4043-A623-99BAC3E7CC43}" cache="Slicer_Payment_Method" caption="Payment Method" showCaption="0" style="SlicerStyleDark1" rowHeight="323850"/>
  <slicer name="Categories" xr10:uid="{69B437C1-6405-4DB6-80B9-95CC56C40D08}" cache="Slicer_Categories" caption="Categories" showCaption="0" style="SlicerStyleDark4" rowHeight="323850"/>
  <slicer name="Product" xr10:uid="{0BE234FD-E194-4CBB-853C-D696905DED01}" cache="Slicer_Product" caption="Product" showCaption="0" style="SlicerStyleDark3" rowHeight="323850"/>
  <slicer name="Years (Date)" xr10:uid="{E515C799-CD82-42EB-9D67-3144C19AB41D}" cache="Slicer_Years__Date" caption="Years (Date)" showCaption="0" style="SlicerStyleDark5" rowHeight="3238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5705D4-961A-40D9-A11D-9DB6AF3109C2}" name="Table1" displayName="Table1" ref="A1:L112" totalsRowShown="0" headerRowDxfId="7">
  <autoFilter ref="A1:L112" xr:uid="{895705D4-961A-40D9-A11D-9DB6AF3109C2}"/>
  <tableColumns count="12">
    <tableColumn id="1" xr3:uid="{C8801211-928F-4D19-8549-1788B3DA483F}" name="Transaction ID"/>
    <tableColumn id="2" xr3:uid="{065C3994-1120-4B7E-88D7-75F35F2708DC}" name="Date" dataDxfId="8"/>
    <tableColumn id="3" xr3:uid="{D04338AC-E659-4AFD-924F-B99C8DD8294D}" name="First Name"/>
    <tableColumn id="4" xr3:uid="{29D41AEA-10A9-47B0-924A-A78613C0EAF8}" name="Last Name"/>
    <tableColumn id="5" xr3:uid="{19E65697-35FF-4676-8D61-25FCB26003D9}" name="Product, Categories"/>
    <tableColumn id="6" xr3:uid="{77E184B3-9399-4D88-8EDB-24D84A528347}" name="Quantity"/>
    <tableColumn id="7" xr3:uid="{AACFEFC6-831D-4129-AA21-EF7AE74F980A}" name="Price Per Unit"/>
    <tableColumn id="8" xr3:uid="{42AB82E4-4983-42A7-97B0-75B501FBB570}" name="Total Sales"/>
    <tableColumn id="9" xr3:uid="{2C14596B-DF8B-4B7F-9D7A-1A26CECD80CC}" name="Ratings"/>
    <tableColumn id="10" xr3:uid="{13115E19-598F-4F38-92D4-7C594745AA33}" name="City"/>
    <tableColumn id="11" xr3:uid="{CC9AA8F5-8C76-4D8F-BD70-911BCCE37A61}" name="Payment Method"/>
    <tableColumn id="12" xr3:uid="{19276437-9872-4A41-9C7F-C67A643F2DE6}"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F4B1AA-919C-414E-A39A-E54F277F2FCC}" name="Table1_1" displayName="Table1_1" ref="A1:K101" tableType="queryTable" totalsRowShown="0">
  <autoFilter ref="A1:K101" xr:uid="{3DF4B1AA-919C-414E-A39A-E54F277F2FCC}"/>
  <tableColumns count="11">
    <tableColumn id="1" xr3:uid="{285B79EA-3C63-419B-9EFB-D1572DE0A3A2}" uniqueName="1" name="Transaction ID" queryTableFieldId="1" dataDxfId="6"/>
    <tableColumn id="2" xr3:uid="{7191ACAB-94CA-4BF9-AF41-5C5805550655}" uniqueName="2" name="Date" queryTableFieldId="2" dataDxfId="5"/>
    <tableColumn id="3" xr3:uid="{ACD0AA24-A851-440E-95F6-AAAC6DC0B4FE}" uniqueName="3" name="Full Name" queryTableFieldId="3" dataDxfId="4"/>
    <tableColumn id="4" xr3:uid="{37803957-864A-4566-A948-69B9E6F6E244}" uniqueName="4" name="Product" queryTableFieldId="4" dataDxfId="3"/>
    <tableColumn id="5" xr3:uid="{6A31B01E-D348-4EB5-92D1-B9CAB814954B}" uniqueName="5" name="Categories" queryTableFieldId="5" dataDxfId="2"/>
    <tableColumn id="6" xr3:uid="{5F70DD41-A5FB-45A8-BC25-208D6F712A12}" uniqueName="6" name="Quantity" queryTableFieldId="6"/>
    <tableColumn id="7" xr3:uid="{286EAE33-0D39-4CF9-B959-228031BECA5F}" uniqueName="7" name="Price Per Unit" queryTableFieldId="7"/>
    <tableColumn id="8" xr3:uid="{BAEB9C88-03D3-4B7E-BB79-3144943EBB5D}" uniqueName="8" name="Total Sales" queryTableFieldId="8"/>
    <tableColumn id="9" xr3:uid="{729E0737-05C8-4026-BA9B-25432B69459C}" uniqueName="9" name="Ratings" queryTableFieldId="9"/>
    <tableColumn id="10" xr3:uid="{05D35D2C-47B6-4F6B-B1A4-38F2F59B4656}" uniqueName="10" name="City" queryTableFieldId="10" dataDxfId="1"/>
    <tableColumn id="11" xr3:uid="{1411BDC9-D0CB-42AC-A211-C3627922D1ED}" uniqueName="11" name="Payment Method" queryTableFieldId="11" dataDxfId="0"/>
  </tableColumns>
  <tableStyleInfo name="TableStyleMedium20"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Milk Glas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5B114-635D-48FF-B888-ABD3E1A86986}">
  <dimension ref="A1:L112"/>
  <sheetViews>
    <sheetView zoomScale="130" zoomScaleNormal="130" workbookViewId="0">
      <selection activeCell="D10" sqref="D10"/>
    </sheetView>
  </sheetViews>
  <sheetFormatPr defaultRowHeight="24"/>
  <cols>
    <col min="1" max="1" width="15.19921875" customWidth="1"/>
    <col min="2" max="2" width="10.69921875" bestFit="1" customWidth="1"/>
    <col min="3" max="3" width="12" customWidth="1"/>
    <col min="4" max="4" width="11.796875" customWidth="1"/>
    <col min="5" max="5" width="22.59765625" bestFit="1" customWidth="1"/>
    <col min="6" max="6" width="9.296875" customWidth="1"/>
    <col min="7" max="7" width="14.8984375" customWidth="1"/>
    <col min="8" max="8" width="12.19921875" customWidth="1"/>
    <col min="9" max="9" width="8.59765625" customWidth="1"/>
    <col min="10" max="10" width="18" bestFit="1" customWidth="1"/>
    <col min="11" max="11" width="17.09765625" customWidth="1"/>
    <col min="12" max="12" width="8" bestFit="1" customWidth="1"/>
  </cols>
  <sheetData>
    <row r="1" spans="1:12">
      <c r="A1" s="1" t="s">
        <v>0</v>
      </c>
      <c r="B1" s="1" t="s">
        <v>1</v>
      </c>
      <c r="C1" s="2" t="s">
        <v>2</v>
      </c>
      <c r="D1" s="1" t="s">
        <v>3</v>
      </c>
      <c r="E1" s="1" t="s">
        <v>4</v>
      </c>
      <c r="F1" s="1" t="s">
        <v>5</v>
      </c>
      <c r="G1" s="1" t="s">
        <v>6</v>
      </c>
      <c r="H1" s="1" t="s">
        <v>7</v>
      </c>
      <c r="I1" s="1" t="s">
        <v>8</v>
      </c>
      <c r="J1" s="1" t="s">
        <v>9</v>
      </c>
      <c r="K1" s="1" t="s">
        <v>10</v>
      </c>
      <c r="L1" s="1" t="s">
        <v>11</v>
      </c>
    </row>
    <row r="2" spans="1:12">
      <c r="A2" t="s">
        <v>12</v>
      </c>
      <c r="B2" s="3">
        <v>45564</v>
      </c>
      <c r="C2" t="s">
        <v>13</v>
      </c>
      <c r="D2" t="s">
        <v>14</v>
      </c>
      <c r="E2" t="s">
        <v>15</v>
      </c>
      <c r="F2">
        <v>1</v>
      </c>
      <c r="G2">
        <v>31753</v>
      </c>
      <c r="H2">
        <v>31753</v>
      </c>
      <c r="I2">
        <v>3</v>
      </c>
      <c r="J2" t="s">
        <v>16</v>
      </c>
      <c r="K2" t="s">
        <v>17</v>
      </c>
      <c r="L2" t="e" vm="1">
        <v>#VALUE!</v>
      </c>
    </row>
    <row r="3" spans="1:12">
      <c r="A3" t="s">
        <v>18</v>
      </c>
      <c r="B3" s="3">
        <v>45617</v>
      </c>
      <c r="C3" t="s">
        <v>19</v>
      </c>
      <c r="D3" t="s">
        <v>20</v>
      </c>
      <c r="E3" t="s">
        <v>15</v>
      </c>
      <c r="F3">
        <v>4</v>
      </c>
      <c r="G3">
        <v>32859</v>
      </c>
      <c r="H3">
        <v>131436</v>
      </c>
      <c r="I3">
        <v>5</v>
      </c>
      <c r="J3" t="s">
        <v>21</v>
      </c>
      <c r="K3" t="s">
        <v>17</v>
      </c>
      <c r="L3" t="e" vm="1">
        <v>#VALUE!</v>
      </c>
    </row>
    <row r="4" spans="1:12">
      <c r="A4" t="s">
        <v>22</v>
      </c>
      <c r="B4" s="3">
        <v>45583</v>
      </c>
      <c r="C4" t="s">
        <v>23</v>
      </c>
      <c r="D4" t="s">
        <v>24</v>
      </c>
      <c r="E4" t="s">
        <v>25</v>
      </c>
      <c r="F4">
        <v>4</v>
      </c>
      <c r="G4">
        <v>43765</v>
      </c>
      <c r="H4">
        <v>175060</v>
      </c>
      <c r="I4">
        <v>2</v>
      </c>
      <c r="J4" t="s">
        <v>26</v>
      </c>
      <c r="K4" t="s">
        <v>27</v>
      </c>
      <c r="L4" t="e" vm="2">
        <v>#VALUE!</v>
      </c>
    </row>
    <row r="5" spans="1:12">
      <c r="A5" t="s">
        <v>28</v>
      </c>
      <c r="B5" s="3">
        <v>45481</v>
      </c>
      <c r="C5" t="s">
        <v>29</v>
      </c>
      <c r="D5" t="s">
        <v>30</v>
      </c>
      <c r="E5" t="s">
        <v>31</v>
      </c>
      <c r="F5">
        <v>2</v>
      </c>
      <c r="G5">
        <v>29571</v>
      </c>
      <c r="H5">
        <v>59142</v>
      </c>
      <c r="I5">
        <v>2</v>
      </c>
      <c r="J5" t="s">
        <v>32</v>
      </c>
      <c r="K5" t="s">
        <v>33</v>
      </c>
      <c r="L5" t="e" vm="3">
        <v>#VALUE!</v>
      </c>
    </row>
    <row r="6" spans="1:12">
      <c r="B6" s="3"/>
    </row>
    <row r="7" spans="1:12">
      <c r="A7" t="s">
        <v>34</v>
      </c>
      <c r="B7" s="3">
        <v>45510</v>
      </c>
      <c r="C7" t="s">
        <v>35</v>
      </c>
      <c r="D7" t="s">
        <v>36</v>
      </c>
      <c r="E7" t="s">
        <v>37</v>
      </c>
      <c r="F7">
        <v>2</v>
      </c>
      <c r="G7">
        <v>19048</v>
      </c>
      <c r="H7">
        <v>38096</v>
      </c>
      <c r="I7">
        <v>3</v>
      </c>
      <c r="J7" t="s">
        <v>38</v>
      </c>
      <c r="K7" t="s">
        <v>17</v>
      </c>
      <c r="L7" t="e" vm="1">
        <v>#VALUE!</v>
      </c>
    </row>
    <row r="8" spans="1:12">
      <c r="A8" t="s">
        <v>39</v>
      </c>
      <c r="B8" s="3">
        <v>45425</v>
      </c>
      <c r="C8" t="s">
        <v>40</v>
      </c>
      <c r="D8" t="s">
        <v>41</v>
      </c>
      <c r="E8" t="s">
        <v>31</v>
      </c>
      <c r="F8">
        <v>3</v>
      </c>
      <c r="G8">
        <v>10863</v>
      </c>
      <c r="H8">
        <v>32589</v>
      </c>
      <c r="I8">
        <v>1</v>
      </c>
      <c r="J8" t="s">
        <v>42</v>
      </c>
      <c r="K8" t="s">
        <v>17</v>
      </c>
      <c r="L8" t="e" vm="1">
        <v>#VALUE!</v>
      </c>
    </row>
    <row r="9" spans="1:12">
      <c r="A9" t="s">
        <v>375</v>
      </c>
      <c r="B9" s="3">
        <v>45719</v>
      </c>
      <c r="C9" t="s">
        <v>43</v>
      </c>
      <c r="D9" t="s">
        <v>44</v>
      </c>
      <c r="E9" t="s">
        <v>45</v>
      </c>
      <c r="F9">
        <v>5</v>
      </c>
      <c r="G9">
        <v>44524</v>
      </c>
      <c r="H9">
        <v>222620</v>
      </c>
      <c r="I9">
        <v>2</v>
      </c>
      <c r="J9" t="s">
        <v>46</v>
      </c>
      <c r="L9" t="e" vm="4">
        <v>#VALUE!</v>
      </c>
    </row>
    <row r="10" spans="1:12">
      <c r="A10" t="s">
        <v>47</v>
      </c>
      <c r="B10" s="3">
        <v>45598</v>
      </c>
      <c r="C10" t="s">
        <v>48</v>
      </c>
      <c r="D10" t="s">
        <v>49</v>
      </c>
      <c r="E10" t="s">
        <v>45</v>
      </c>
      <c r="F10">
        <v>5</v>
      </c>
      <c r="G10">
        <v>15436</v>
      </c>
      <c r="H10">
        <v>77180</v>
      </c>
      <c r="I10">
        <v>4</v>
      </c>
      <c r="J10" t="s">
        <v>50</v>
      </c>
      <c r="K10" t="s">
        <v>33</v>
      </c>
      <c r="L10" t="e" vm="3">
        <v>#VALUE!</v>
      </c>
    </row>
    <row r="11" spans="1:12">
      <c r="A11" t="s">
        <v>51</v>
      </c>
      <c r="B11" s="3">
        <v>45384</v>
      </c>
      <c r="C11" t="s">
        <v>52</v>
      </c>
      <c r="D11" t="s">
        <v>53</v>
      </c>
      <c r="E11" t="s">
        <v>54</v>
      </c>
      <c r="F11">
        <v>1</v>
      </c>
      <c r="G11">
        <v>5658</v>
      </c>
      <c r="H11">
        <v>5658</v>
      </c>
      <c r="I11">
        <v>4</v>
      </c>
      <c r="J11" t="s">
        <v>55</v>
      </c>
      <c r="K11" t="s">
        <v>27</v>
      </c>
      <c r="L11" t="e" vm="2">
        <v>#VALUE!</v>
      </c>
    </row>
    <row r="12" spans="1:12">
      <c r="A12" t="s">
        <v>56</v>
      </c>
      <c r="B12" s="3">
        <v>45689</v>
      </c>
      <c r="C12" t="s">
        <v>29</v>
      </c>
      <c r="D12" t="s">
        <v>57</v>
      </c>
      <c r="E12" t="s">
        <v>58</v>
      </c>
      <c r="F12">
        <v>3</v>
      </c>
      <c r="G12">
        <v>47796</v>
      </c>
      <c r="H12">
        <v>143388</v>
      </c>
      <c r="I12">
        <v>5</v>
      </c>
      <c r="J12" t="s">
        <v>59</v>
      </c>
      <c r="K12" t="s">
        <v>17</v>
      </c>
      <c r="L12" t="e" vm="1">
        <v>#VALUE!</v>
      </c>
    </row>
    <row r="13" spans="1:12">
      <c r="A13" t="s">
        <v>60</v>
      </c>
      <c r="B13" s="3">
        <v>45668</v>
      </c>
      <c r="C13" t="s">
        <v>61</v>
      </c>
      <c r="D13" t="s">
        <v>62</v>
      </c>
      <c r="E13" t="s">
        <v>45</v>
      </c>
      <c r="F13">
        <v>3</v>
      </c>
      <c r="G13">
        <v>49935</v>
      </c>
      <c r="H13">
        <v>149805</v>
      </c>
      <c r="I13">
        <v>5</v>
      </c>
      <c r="J13" t="s">
        <v>63</v>
      </c>
      <c r="K13" t="s">
        <v>33</v>
      </c>
      <c r="L13" t="e" vm="3">
        <v>#VALUE!</v>
      </c>
    </row>
    <row r="14" spans="1:12">
      <c r="B14" s="3"/>
    </row>
    <row r="15" spans="1:12">
      <c r="B15" s="3"/>
    </row>
    <row r="16" spans="1:12">
      <c r="A16" t="s">
        <v>64</v>
      </c>
      <c r="B16" s="3">
        <v>45730</v>
      </c>
      <c r="C16" t="s">
        <v>65</v>
      </c>
      <c r="D16" t="s">
        <v>66</v>
      </c>
      <c r="E16" t="s">
        <v>67</v>
      </c>
      <c r="F16">
        <v>5</v>
      </c>
      <c r="G16">
        <v>29955</v>
      </c>
      <c r="H16">
        <v>149775</v>
      </c>
      <c r="I16">
        <v>4</v>
      </c>
      <c r="J16" t="s">
        <v>68</v>
      </c>
      <c r="K16" t="s">
        <v>33</v>
      </c>
      <c r="L16" t="e" vm="3">
        <v>#VALUE!</v>
      </c>
    </row>
    <row r="17" spans="1:12">
      <c r="A17" t="s">
        <v>69</v>
      </c>
      <c r="B17" s="3">
        <v>45699</v>
      </c>
      <c r="C17" t="s">
        <v>70</v>
      </c>
      <c r="D17" t="s">
        <v>71</v>
      </c>
      <c r="E17" t="s">
        <v>72</v>
      </c>
      <c r="F17">
        <v>2</v>
      </c>
      <c r="G17">
        <v>34794</v>
      </c>
      <c r="H17">
        <v>69588</v>
      </c>
      <c r="I17">
        <v>5</v>
      </c>
      <c r="J17" t="s">
        <v>73</v>
      </c>
      <c r="K17" t="s">
        <v>17</v>
      </c>
      <c r="L17" t="e" vm="1">
        <v>#VALUE!</v>
      </c>
    </row>
    <row r="18" spans="1:12">
      <c r="A18" t="s">
        <v>74</v>
      </c>
      <c r="B18" s="3">
        <v>45510</v>
      </c>
      <c r="C18" t="s">
        <v>75</v>
      </c>
      <c r="D18" t="s">
        <v>76</v>
      </c>
      <c r="E18" t="s">
        <v>15</v>
      </c>
      <c r="F18">
        <v>4</v>
      </c>
      <c r="G18">
        <v>48221</v>
      </c>
      <c r="H18">
        <v>192884</v>
      </c>
      <c r="I18">
        <v>2</v>
      </c>
      <c r="J18" t="s">
        <v>77</v>
      </c>
      <c r="K18" t="s">
        <v>27</v>
      </c>
      <c r="L18" t="e" vm="2">
        <v>#VALUE!</v>
      </c>
    </row>
    <row r="19" spans="1:12">
      <c r="A19" t="s">
        <v>78</v>
      </c>
      <c r="B19" s="3">
        <v>45630</v>
      </c>
      <c r="C19" t="s">
        <v>79</v>
      </c>
      <c r="D19" t="s">
        <v>80</v>
      </c>
      <c r="E19" t="s">
        <v>25</v>
      </c>
      <c r="F19">
        <v>5</v>
      </c>
      <c r="G19">
        <v>21463</v>
      </c>
      <c r="H19">
        <v>107315</v>
      </c>
      <c r="I19">
        <v>1</v>
      </c>
      <c r="J19" t="s">
        <v>81</v>
      </c>
      <c r="K19" t="s">
        <v>33</v>
      </c>
      <c r="L19" t="e" vm="3">
        <v>#VALUE!</v>
      </c>
    </row>
    <row r="20" spans="1:12">
      <c r="A20" t="s">
        <v>376</v>
      </c>
      <c r="B20" s="3">
        <v>45635</v>
      </c>
      <c r="C20" t="s">
        <v>82</v>
      </c>
      <c r="D20" t="s">
        <v>83</v>
      </c>
      <c r="E20" t="s">
        <v>25</v>
      </c>
      <c r="F20">
        <v>5</v>
      </c>
      <c r="G20">
        <v>39728</v>
      </c>
      <c r="H20">
        <v>198640</v>
      </c>
      <c r="I20">
        <v>5</v>
      </c>
      <c r="J20" t="s">
        <v>84</v>
      </c>
      <c r="L20" t="e" vm="4">
        <v>#VALUE!</v>
      </c>
    </row>
    <row r="21" spans="1:12">
      <c r="A21" t="s">
        <v>85</v>
      </c>
      <c r="B21" s="3">
        <v>45470</v>
      </c>
      <c r="C21" t="s">
        <v>86</v>
      </c>
      <c r="D21" t="s">
        <v>87</v>
      </c>
      <c r="E21" t="s">
        <v>15</v>
      </c>
      <c r="F21">
        <v>5</v>
      </c>
      <c r="G21">
        <v>42251</v>
      </c>
      <c r="H21">
        <v>211255</v>
      </c>
      <c r="I21">
        <v>1</v>
      </c>
      <c r="J21" t="s">
        <v>88</v>
      </c>
      <c r="K21" t="s">
        <v>17</v>
      </c>
      <c r="L21" t="e" vm="1">
        <v>#VALUE!</v>
      </c>
    </row>
    <row r="22" spans="1:12">
      <c r="A22" t="s">
        <v>89</v>
      </c>
      <c r="B22" s="3">
        <v>45504</v>
      </c>
      <c r="C22" t="s">
        <v>90</v>
      </c>
      <c r="D22" t="s">
        <v>91</v>
      </c>
      <c r="E22" t="s">
        <v>72</v>
      </c>
      <c r="F22">
        <v>2</v>
      </c>
      <c r="G22">
        <v>28322</v>
      </c>
      <c r="H22">
        <v>56644</v>
      </c>
      <c r="I22">
        <v>5</v>
      </c>
      <c r="J22" t="s">
        <v>92</v>
      </c>
      <c r="K22" t="s">
        <v>17</v>
      </c>
      <c r="L22" t="e" vm="1">
        <v>#VALUE!</v>
      </c>
    </row>
    <row r="23" spans="1:12">
      <c r="A23" t="s">
        <v>93</v>
      </c>
      <c r="B23" s="3">
        <v>45674</v>
      </c>
      <c r="C23" t="s">
        <v>94</v>
      </c>
      <c r="D23" t="s">
        <v>95</v>
      </c>
      <c r="E23" t="s">
        <v>96</v>
      </c>
      <c r="F23">
        <v>4</v>
      </c>
      <c r="G23">
        <v>37610</v>
      </c>
      <c r="H23">
        <v>150440</v>
      </c>
      <c r="I23">
        <v>2</v>
      </c>
      <c r="J23" t="s">
        <v>97</v>
      </c>
      <c r="K23" t="s">
        <v>27</v>
      </c>
      <c r="L23" t="e" vm="2">
        <v>#VALUE!</v>
      </c>
    </row>
    <row r="24" spans="1:12">
      <c r="B24" s="3"/>
    </row>
    <row r="25" spans="1:12">
      <c r="A25" t="s">
        <v>98</v>
      </c>
      <c r="B25" s="3">
        <v>45394</v>
      </c>
      <c r="C25" t="s">
        <v>99</v>
      </c>
      <c r="D25" t="s">
        <v>100</v>
      </c>
      <c r="E25" t="s">
        <v>45</v>
      </c>
      <c r="F25">
        <v>3</v>
      </c>
      <c r="G25">
        <v>25494</v>
      </c>
      <c r="H25">
        <v>76482</v>
      </c>
      <c r="I25">
        <v>3</v>
      </c>
      <c r="J25" t="s">
        <v>101</v>
      </c>
      <c r="K25" t="s">
        <v>17</v>
      </c>
      <c r="L25" t="e" vm="1">
        <v>#VALUE!</v>
      </c>
    </row>
    <row r="26" spans="1:12">
      <c r="A26" t="s">
        <v>102</v>
      </c>
      <c r="B26" s="3">
        <v>45506</v>
      </c>
      <c r="C26" t="s">
        <v>103</v>
      </c>
      <c r="D26" t="s">
        <v>104</v>
      </c>
      <c r="E26" t="s">
        <v>15</v>
      </c>
      <c r="F26">
        <v>3</v>
      </c>
      <c r="G26">
        <v>30723</v>
      </c>
      <c r="H26">
        <v>92169</v>
      </c>
      <c r="I26">
        <v>4</v>
      </c>
      <c r="J26" t="s">
        <v>105</v>
      </c>
      <c r="K26" t="s">
        <v>17</v>
      </c>
      <c r="L26" t="e" vm="1">
        <v>#VALUE!</v>
      </c>
    </row>
    <row r="27" spans="1:12">
      <c r="A27" t="s">
        <v>106</v>
      </c>
      <c r="B27" s="3">
        <v>45601</v>
      </c>
      <c r="C27" t="s">
        <v>107</v>
      </c>
      <c r="D27" t="s">
        <v>108</v>
      </c>
      <c r="E27" t="s">
        <v>37</v>
      </c>
      <c r="F27">
        <v>4</v>
      </c>
      <c r="G27">
        <v>48105</v>
      </c>
      <c r="H27">
        <v>192420</v>
      </c>
      <c r="I27">
        <v>1</v>
      </c>
      <c r="J27" t="s">
        <v>109</v>
      </c>
      <c r="K27" t="s">
        <v>27</v>
      </c>
      <c r="L27" t="e" vm="2">
        <v>#VALUE!</v>
      </c>
    </row>
    <row r="28" spans="1:12">
      <c r="A28" t="s">
        <v>377</v>
      </c>
      <c r="B28" s="3">
        <v>45516</v>
      </c>
      <c r="C28" t="s">
        <v>52</v>
      </c>
      <c r="D28" t="s">
        <v>110</v>
      </c>
      <c r="E28" t="s">
        <v>25</v>
      </c>
      <c r="F28">
        <v>5</v>
      </c>
      <c r="G28">
        <v>40796</v>
      </c>
      <c r="H28">
        <v>203980</v>
      </c>
      <c r="I28">
        <v>4</v>
      </c>
      <c r="J28" t="s">
        <v>111</v>
      </c>
      <c r="L28" t="e" vm="4">
        <v>#VALUE!</v>
      </c>
    </row>
    <row r="29" spans="1:12">
      <c r="A29" t="s">
        <v>112</v>
      </c>
      <c r="B29" s="3">
        <v>45528</v>
      </c>
      <c r="C29" t="s">
        <v>65</v>
      </c>
      <c r="D29" t="s">
        <v>113</v>
      </c>
      <c r="E29" t="s">
        <v>37</v>
      </c>
      <c r="F29">
        <v>5</v>
      </c>
      <c r="G29">
        <v>21482</v>
      </c>
      <c r="H29">
        <v>107410</v>
      </c>
      <c r="I29">
        <v>3</v>
      </c>
      <c r="J29" t="s">
        <v>114</v>
      </c>
      <c r="K29" t="s">
        <v>33</v>
      </c>
      <c r="L29" t="e" vm="3">
        <v>#VALUE!</v>
      </c>
    </row>
    <row r="30" spans="1:12">
      <c r="A30" t="s">
        <v>115</v>
      </c>
      <c r="B30" s="3">
        <v>45573</v>
      </c>
      <c r="C30" t="s">
        <v>116</v>
      </c>
      <c r="D30" t="s">
        <v>117</v>
      </c>
      <c r="E30" t="s">
        <v>67</v>
      </c>
      <c r="F30">
        <v>2</v>
      </c>
      <c r="G30">
        <v>6288</v>
      </c>
      <c r="H30">
        <v>12576</v>
      </c>
      <c r="I30">
        <v>5</v>
      </c>
      <c r="J30" t="s">
        <v>118</v>
      </c>
      <c r="K30" t="s">
        <v>27</v>
      </c>
      <c r="L30" t="e" vm="2">
        <v>#VALUE!</v>
      </c>
    </row>
    <row r="31" spans="1:12">
      <c r="A31" t="s">
        <v>378</v>
      </c>
      <c r="B31" s="3">
        <v>45716</v>
      </c>
      <c r="C31" t="s">
        <v>119</v>
      </c>
      <c r="D31" t="s">
        <v>120</v>
      </c>
      <c r="E31" t="s">
        <v>25</v>
      </c>
      <c r="F31">
        <v>5</v>
      </c>
      <c r="G31">
        <v>41016</v>
      </c>
      <c r="H31">
        <v>205080</v>
      </c>
      <c r="I31">
        <v>2</v>
      </c>
      <c r="J31" t="s">
        <v>121</v>
      </c>
      <c r="L31" t="e" vm="4">
        <v>#VALUE!</v>
      </c>
    </row>
    <row r="32" spans="1:12">
      <c r="A32" t="s">
        <v>122</v>
      </c>
      <c r="B32" s="3">
        <v>45379</v>
      </c>
      <c r="C32" t="s">
        <v>123</v>
      </c>
      <c r="D32" t="s">
        <v>124</v>
      </c>
      <c r="E32" t="s">
        <v>54</v>
      </c>
      <c r="F32">
        <v>5</v>
      </c>
      <c r="G32">
        <v>30289</v>
      </c>
      <c r="H32">
        <v>151445</v>
      </c>
      <c r="I32">
        <v>3</v>
      </c>
      <c r="J32" t="s">
        <v>125</v>
      </c>
      <c r="K32" t="s">
        <v>27</v>
      </c>
      <c r="L32" t="e" vm="2">
        <v>#VALUE!</v>
      </c>
    </row>
    <row r="33" spans="1:12">
      <c r="A33" t="s">
        <v>126</v>
      </c>
      <c r="B33" s="3">
        <v>45382</v>
      </c>
      <c r="C33" t="s">
        <v>127</v>
      </c>
      <c r="D33" t="s">
        <v>128</v>
      </c>
      <c r="E33" t="s">
        <v>31</v>
      </c>
      <c r="F33">
        <v>1</v>
      </c>
      <c r="G33">
        <v>27553</v>
      </c>
      <c r="H33">
        <v>27553</v>
      </c>
      <c r="I33">
        <v>5</v>
      </c>
      <c r="J33" t="s">
        <v>129</v>
      </c>
      <c r="K33" t="s">
        <v>33</v>
      </c>
      <c r="L33" t="e" vm="3">
        <v>#VALUE!</v>
      </c>
    </row>
    <row r="34" spans="1:12">
      <c r="A34" t="s">
        <v>379</v>
      </c>
      <c r="B34" s="3">
        <v>45424</v>
      </c>
      <c r="C34" t="s">
        <v>130</v>
      </c>
      <c r="D34" t="s">
        <v>131</v>
      </c>
      <c r="E34" t="s">
        <v>58</v>
      </c>
      <c r="F34">
        <v>4</v>
      </c>
      <c r="G34">
        <v>35346</v>
      </c>
      <c r="H34">
        <v>141384</v>
      </c>
      <c r="I34">
        <v>4</v>
      </c>
      <c r="J34" t="s">
        <v>132</v>
      </c>
      <c r="L34" t="e" vm="4">
        <v>#VALUE!</v>
      </c>
    </row>
    <row r="35" spans="1:12">
      <c r="A35" t="s">
        <v>133</v>
      </c>
      <c r="B35" s="3">
        <v>45569</v>
      </c>
      <c r="C35" t="s">
        <v>134</v>
      </c>
      <c r="D35" t="s">
        <v>135</v>
      </c>
      <c r="E35" t="s">
        <v>25</v>
      </c>
      <c r="F35">
        <v>5</v>
      </c>
      <c r="G35">
        <v>7709</v>
      </c>
      <c r="H35">
        <v>38545</v>
      </c>
      <c r="I35">
        <v>5</v>
      </c>
      <c r="J35" t="s">
        <v>136</v>
      </c>
      <c r="K35" t="s">
        <v>33</v>
      </c>
      <c r="L35" t="e" vm="3">
        <v>#VALUE!</v>
      </c>
    </row>
    <row r="36" spans="1:12">
      <c r="A36" t="s">
        <v>137</v>
      </c>
      <c r="B36" s="3">
        <v>45523</v>
      </c>
      <c r="C36" t="s">
        <v>138</v>
      </c>
      <c r="D36" t="s">
        <v>139</v>
      </c>
      <c r="E36" t="s">
        <v>15</v>
      </c>
      <c r="F36">
        <v>2</v>
      </c>
      <c r="G36">
        <v>20832</v>
      </c>
      <c r="H36">
        <v>41664</v>
      </c>
      <c r="I36">
        <v>4</v>
      </c>
      <c r="J36" t="s">
        <v>140</v>
      </c>
      <c r="K36" t="s">
        <v>33</v>
      </c>
      <c r="L36" t="e" vm="3">
        <v>#VALUE!</v>
      </c>
    </row>
    <row r="37" spans="1:12">
      <c r="A37" t="s">
        <v>141</v>
      </c>
      <c r="B37" s="3">
        <v>45495</v>
      </c>
      <c r="C37" t="s">
        <v>142</v>
      </c>
      <c r="D37" t="s">
        <v>143</v>
      </c>
      <c r="E37" t="s">
        <v>58</v>
      </c>
      <c r="F37">
        <v>1</v>
      </c>
      <c r="G37">
        <v>28873</v>
      </c>
      <c r="H37">
        <v>28873</v>
      </c>
      <c r="I37">
        <v>4</v>
      </c>
      <c r="J37" t="s">
        <v>144</v>
      </c>
      <c r="K37" t="s">
        <v>17</v>
      </c>
      <c r="L37" t="e" vm="1">
        <v>#VALUE!</v>
      </c>
    </row>
    <row r="38" spans="1:12">
      <c r="B38" s="3"/>
    </row>
    <row r="39" spans="1:12">
      <c r="B39" s="3"/>
    </row>
    <row r="40" spans="1:12">
      <c r="A40" t="s">
        <v>145</v>
      </c>
      <c r="B40" s="3">
        <v>45394</v>
      </c>
      <c r="C40" t="s">
        <v>146</v>
      </c>
      <c r="D40" t="s">
        <v>147</v>
      </c>
      <c r="E40" t="s">
        <v>67</v>
      </c>
      <c r="F40">
        <v>1</v>
      </c>
      <c r="G40">
        <v>27664</v>
      </c>
      <c r="H40">
        <v>27664</v>
      </c>
      <c r="I40">
        <v>4</v>
      </c>
      <c r="J40" t="s">
        <v>148</v>
      </c>
      <c r="K40" t="s">
        <v>27</v>
      </c>
      <c r="L40" t="e" vm="2">
        <v>#VALUE!</v>
      </c>
    </row>
    <row r="41" spans="1:12">
      <c r="A41" t="s">
        <v>149</v>
      </c>
      <c r="B41" s="3">
        <v>45538</v>
      </c>
      <c r="C41" t="s">
        <v>150</v>
      </c>
      <c r="D41" t="s">
        <v>151</v>
      </c>
      <c r="E41" t="s">
        <v>58</v>
      </c>
      <c r="F41">
        <v>5</v>
      </c>
      <c r="G41">
        <v>31211</v>
      </c>
      <c r="H41">
        <v>156055</v>
      </c>
      <c r="I41">
        <v>5</v>
      </c>
      <c r="J41" t="s">
        <v>152</v>
      </c>
      <c r="K41" t="s">
        <v>33</v>
      </c>
      <c r="L41" t="e" vm="3">
        <v>#VALUE!</v>
      </c>
    </row>
    <row r="42" spans="1:12">
      <c r="A42" t="s">
        <v>153</v>
      </c>
      <c r="B42" s="3">
        <v>45599</v>
      </c>
      <c r="C42" t="s">
        <v>154</v>
      </c>
      <c r="D42" t="s">
        <v>155</v>
      </c>
      <c r="E42" t="s">
        <v>72</v>
      </c>
      <c r="F42">
        <v>1</v>
      </c>
      <c r="G42">
        <v>30680</v>
      </c>
      <c r="H42">
        <v>30680</v>
      </c>
      <c r="I42">
        <v>5</v>
      </c>
      <c r="J42" t="s">
        <v>156</v>
      </c>
      <c r="K42" t="s">
        <v>27</v>
      </c>
      <c r="L42" t="e" vm="2">
        <v>#VALUE!</v>
      </c>
    </row>
    <row r="43" spans="1:12">
      <c r="A43" t="s">
        <v>157</v>
      </c>
      <c r="B43" s="3">
        <v>45398</v>
      </c>
      <c r="C43" t="s">
        <v>158</v>
      </c>
      <c r="D43" t="s">
        <v>159</v>
      </c>
      <c r="E43" t="s">
        <v>72</v>
      </c>
      <c r="F43">
        <v>1</v>
      </c>
      <c r="G43">
        <v>13489</v>
      </c>
      <c r="H43">
        <v>13489</v>
      </c>
      <c r="I43">
        <v>3</v>
      </c>
      <c r="J43" t="s">
        <v>160</v>
      </c>
      <c r="K43" t="s">
        <v>27</v>
      </c>
      <c r="L43" t="e" vm="2">
        <v>#VALUE!</v>
      </c>
    </row>
    <row r="44" spans="1:12">
      <c r="A44" t="s">
        <v>380</v>
      </c>
      <c r="B44" s="3">
        <v>45474</v>
      </c>
      <c r="C44" t="s">
        <v>161</v>
      </c>
      <c r="D44" t="s">
        <v>162</v>
      </c>
      <c r="E44" t="s">
        <v>31</v>
      </c>
      <c r="F44">
        <v>3</v>
      </c>
      <c r="G44">
        <v>42582</v>
      </c>
      <c r="H44">
        <v>127746</v>
      </c>
      <c r="I44">
        <v>5</v>
      </c>
      <c r="J44" t="s">
        <v>163</v>
      </c>
      <c r="L44" t="e" vm="4">
        <v>#VALUE!</v>
      </c>
    </row>
    <row r="45" spans="1:12">
      <c r="A45" t="s">
        <v>164</v>
      </c>
      <c r="B45" s="3">
        <v>45423</v>
      </c>
      <c r="C45" t="s">
        <v>165</v>
      </c>
      <c r="D45" t="s">
        <v>166</v>
      </c>
      <c r="E45" t="s">
        <v>54</v>
      </c>
      <c r="F45">
        <v>5</v>
      </c>
      <c r="G45">
        <v>47488</v>
      </c>
      <c r="H45">
        <v>237440</v>
      </c>
      <c r="I45">
        <v>5</v>
      </c>
      <c r="J45" t="s">
        <v>167</v>
      </c>
      <c r="K45" t="s">
        <v>17</v>
      </c>
      <c r="L45" t="e" vm="1">
        <v>#VALUE!</v>
      </c>
    </row>
    <row r="46" spans="1:12">
      <c r="A46" t="s">
        <v>168</v>
      </c>
      <c r="B46" s="3">
        <v>45374</v>
      </c>
      <c r="C46" t="s">
        <v>169</v>
      </c>
      <c r="D46" t="s">
        <v>170</v>
      </c>
      <c r="E46" t="s">
        <v>15</v>
      </c>
      <c r="F46">
        <v>5</v>
      </c>
      <c r="G46">
        <v>28497</v>
      </c>
      <c r="H46">
        <v>142485</v>
      </c>
      <c r="I46">
        <v>5</v>
      </c>
      <c r="J46" t="s">
        <v>171</v>
      </c>
      <c r="K46" t="s">
        <v>17</v>
      </c>
      <c r="L46" t="e" vm="1">
        <v>#VALUE!</v>
      </c>
    </row>
    <row r="47" spans="1:12">
      <c r="A47" t="s">
        <v>381</v>
      </c>
      <c r="B47" s="3">
        <v>45531</v>
      </c>
      <c r="C47" t="s">
        <v>172</v>
      </c>
      <c r="D47" t="s">
        <v>173</v>
      </c>
      <c r="E47" t="s">
        <v>15</v>
      </c>
      <c r="F47">
        <v>4</v>
      </c>
      <c r="G47">
        <v>28511</v>
      </c>
      <c r="H47">
        <v>114044</v>
      </c>
      <c r="I47">
        <v>4</v>
      </c>
      <c r="J47" t="s">
        <v>174</v>
      </c>
      <c r="L47" t="e" vm="4">
        <v>#VALUE!</v>
      </c>
    </row>
    <row r="48" spans="1:12">
      <c r="A48" t="s">
        <v>175</v>
      </c>
      <c r="B48" s="3">
        <v>45704</v>
      </c>
      <c r="C48" t="s">
        <v>176</v>
      </c>
      <c r="D48" t="s">
        <v>177</v>
      </c>
      <c r="E48" t="s">
        <v>72</v>
      </c>
      <c r="F48">
        <v>3</v>
      </c>
      <c r="G48">
        <v>17037</v>
      </c>
      <c r="H48">
        <v>51111</v>
      </c>
      <c r="I48">
        <v>5</v>
      </c>
      <c r="J48" t="s">
        <v>178</v>
      </c>
      <c r="K48" t="s">
        <v>17</v>
      </c>
      <c r="L48" t="e" vm="1">
        <v>#VALUE!</v>
      </c>
    </row>
    <row r="49" spans="1:12">
      <c r="A49" t="s">
        <v>179</v>
      </c>
      <c r="B49" s="3">
        <v>45620</v>
      </c>
      <c r="C49" t="s">
        <v>180</v>
      </c>
      <c r="D49" t="s">
        <v>181</v>
      </c>
      <c r="E49" t="s">
        <v>67</v>
      </c>
      <c r="F49">
        <v>1</v>
      </c>
      <c r="G49">
        <v>22041</v>
      </c>
      <c r="H49">
        <v>22041</v>
      </c>
      <c r="I49">
        <v>5</v>
      </c>
      <c r="J49" t="s">
        <v>182</v>
      </c>
      <c r="K49" t="s">
        <v>33</v>
      </c>
      <c r="L49" t="e" vm="3">
        <v>#VALUE!</v>
      </c>
    </row>
    <row r="50" spans="1:12">
      <c r="A50" t="s">
        <v>183</v>
      </c>
      <c r="B50" s="3">
        <v>45603</v>
      </c>
      <c r="C50" t="s">
        <v>134</v>
      </c>
      <c r="D50" t="s">
        <v>184</v>
      </c>
      <c r="E50" t="s">
        <v>67</v>
      </c>
      <c r="F50">
        <v>5</v>
      </c>
      <c r="G50">
        <v>44743</v>
      </c>
      <c r="H50">
        <v>223715</v>
      </c>
      <c r="I50">
        <v>2</v>
      </c>
      <c r="J50" t="s">
        <v>185</v>
      </c>
      <c r="K50" t="s">
        <v>17</v>
      </c>
      <c r="L50" t="e" vm="1">
        <v>#VALUE!</v>
      </c>
    </row>
    <row r="51" spans="1:12">
      <c r="A51" t="s">
        <v>186</v>
      </c>
      <c r="B51" s="3">
        <v>45396</v>
      </c>
      <c r="C51" t="s">
        <v>138</v>
      </c>
      <c r="D51" t="s">
        <v>187</v>
      </c>
      <c r="E51" t="s">
        <v>25</v>
      </c>
      <c r="F51">
        <v>4</v>
      </c>
      <c r="G51">
        <v>42657</v>
      </c>
      <c r="H51">
        <v>170628</v>
      </c>
      <c r="I51">
        <v>5</v>
      </c>
      <c r="J51" t="s">
        <v>188</v>
      </c>
      <c r="K51" t="s">
        <v>27</v>
      </c>
      <c r="L51" t="e" vm="2">
        <v>#VALUE!</v>
      </c>
    </row>
    <row r="52" spans="1:12">
      <c r="A52" t="s">
        <v>189</v>
      </c>
      <c r="B52" s="3">
        <v>45453</v>
      </c>
      <c r="C52" t="s">
        <v>79</v>
      </c>
      <c r="D52" t="s">
        <v>190</v>
      </c>
      <c r="E52" t="s">
        <v>58</v>
      </c>
      <c r="F52">
        <v>2</v>
      </c>
      <c r="G52">
        <v>19111</v>
      </c>
      <c r="H52">
        <v>38222</v>
      </c>
      <c r="I52">
        <v>2</v>
      </c>
      <c r="J52" t="s">
        <v>191</v>
      </c>
      <c r="K52" t="s">
        <v>27</v>
      </c>
      <c r="L52" t="e" vm="2">
        <v>#VALUE!</v>
      </c>
    </row>
    <row r="53" spans="1:12">
      <c r="A53" t="s">
        <v>382</v>
      </c>
      <c r="B53" s="3">
        <v>45470</v>
      </c>
      <c r="C53" t="s">
        <v>192</v>
      </c>
      <c r="D53" t="s">
        <v>193</v>
      </c>
      <c r="E53" t="s">
        <v>58</v>
      </c>
      <c r="F53">
        <v>4</v>
      </c>
      <c r="G53">
        <v>22285</v>
      </c>
      <c r="H53">
        <v>89140</v>
      </c>
      <c r="I53">
        <v>4</v>
      </c>
      <c r="J53" t="s">
        <v>194</v>
      </c>
      <c r="L53" t="e" vm="4">
        <v>#VALUE!</v>
      </c>
    </row>
    <row r="54" spans="1:12">
      <c r="A54" t="s">
        <v>385</v>
      </c>
      <c r="B54" s="3">
        <v>45690</v>
      </c>
      <c r="C54" t="s">
        <v>195</v>
      </c>
      <c r="D54" t="s">
        <v>196</v>
      </c>
      <c r="E54" t="s">
        <v>72</v>
      </c>
      <c r="F54">
        <v>1</v>
      </c>
      <c r="G54">
        <v>40169</v>
      </c>
      <c r="H54">
        <v>40169</v>
      </c>
      <c r="I54">
        <v>5</v>
      </c>
      <c r="J54" t="s">
        <v>197</v>
      </c>
      <c r="L54" t="e" vm="4">
        <v>#VALUE!</v>
      </c>
    </row>
    <row r="55" spans="1:12">
      <c r="A55" t="s">
        <v>198</v>
      </c>
      <c r="B55" s="3">
        <v>45681</v>
      </c>
      <c r="C55" t="s">
        <v>199</v>
      </c>
      <c r="D55" t="s">
        <v>200</v>
      </c>
      <c r="E55" t="s">
        <v>58</v>
      </c>
      <c r="F55">
        <v>2</v>
      </c>
      <c r="G55">
        <v>39615</v>
      </c>
      <c r="H55">
        <v>79230</v>
      </c>
      <c r="I55">
        <v>5</v>
      </c>
      <c r="J55" t="s">
        <v>201</v>
      </c>
      <c r="K55" t="s">
        <v>17</v>
      </c>
      <c r="L55" t="e" vm="1">
        <v>#VALUE!</v>
      </c>
    </row>
    <row r="56" spans="1:12">
      <c r="A56" t="s">
        <v>202</v>
      </c>
      <c r="B56" s="3">
        <v>45558</v>
      </c>
      <c r="C56" t="s">
        <v>203</v>
      </c>
      <c r="D56" t="s">
        <v>204</v>
      </c>
      <c r="E56" t="s">
        <v>25</v>
      </c>
      <c r="F56">
        <v>4</v>
      </c>
      <c r="G56">
        <v>25176</v>
      </c>
      <c r="H56">
        <v>100704</v>
      </c>
      <c r="I56">
        <v>3</v>
      </c>
      <c r="J56" t="s">
        <v>205</v>
      </c>
      <c r="K56" t="s">
        <v>27</v>
      </c>
      <c r="L56" t="e" vm="2">
        <v>#VALUE!</v>
      </c>
    </row>
    <row r="57" spans="1:12">
      <c r="A57" t="s">
        <v>206</v>
      </c>
      <c r="B57" s="3">
        <v>45656</v>
      </c>
      <c r="C57" t="s">
        <v>207</v>
      </c>
      <c r="D57" t="s">
        <v>208</v>
      </c>
      <c r="E57" t="s">
        <v>31</v>
      </c>
      <c r="F57">
        <v>1</v>
      </c>
      <c r="G57">
        <v>27031</v>
      </c>
      <c r="H57">
        <v>27031</v>
      </c>
      <c r="I57">
        <v>5</v>
      </c>
      <c r="J57" t="s">
        <v>209</v>
      </c>
      <c r="K57" t="s">
        <v>27</v>
      </c>
      <c r="L57" t="e" vm="2">
        <v>#VALUE!</v>
      </c>
    </row>
    <row r="58" spans="1:12">
      <c r="B58" s="3"/>
    </row>
    <row r="59" spans="1:12">
      <c r="A59" t="s">
        <v>210</v>
      </c>
      <c r="B59" s="3">
        <v>45424</v>
      </c>
      <c r="C59" t="s">
        <v>211</v>
      </c>
      <c r="D59" t="s">
        <v>212</v>
      </c>
      <c r="E59" t="s">
        <v>45</v>
      </c>
      <c r="F59">
        <v>5</v>
      </c>
      <c r="G59">
        <v>21029</v>
      </c>
      <c r="H59">
        <v>105145</v>
      </c>
      <c r="I59">
        <v>4</v>
      </c>
      <c r="J59" t="s">
        <v>213</v>
      </c>
      <c r="K59" t="s">
        <v>27</v>
      </c>
      <c r="L59" t="e" vm="2">
        <v>#VALUE!</v>
      </c>
    </row>
    <row r="60" spans="1:12">
      <c r="A60" t="s">
        <v>214</v>
      </c>
      <c r="B60" s="3">
        <v>45468</v>
      </c>
      <c r="C60" t="s">
        <v>215</v>
      </c>
      <c r="D60" t="s">
        <v>216</v>
      </c>
      <c r="E60" t="s">
        <v>45</v>
      </c>
      <c r="F60">
        <v>4</v>
      </c>
      <c r="G60">
        <v>27706</v>
      </c>
      <c r="H60">
        <v>110824</v>
      </c>
      <c r="I60">
        <v>5</v>
      </c>
      <c r="J60" t="s">
        <v>217</v>
      </c>
      <c r="K60" t="s">
        <v>27</v>
      </c>
      <c r="L60" t="e" vm="2">
        <v>#VALUE!</v>
      </c>
    </row>
    <row r="61" spans="1:12">
      <c r="A61" t="s">
        <v>218</v>
      </c>
      <c r="B61" s="3">
        <v>45394</v>
      </c>
      <c r="C61" t="s">
        <v>219</v>
      </c>
      <c r="D61" t="s">
        <v>220</v>
      </c>
      <c r="E61" t="s">
        <v>45</v>
      </c>
      <c r="F61">
        <v>3</v>
      </c>
      <c r="G61">
        <v>10728</v>
      </c>
      <c r="H61">
        <v>32184</v>
      </c>
      <c r="I61">
        <v>5</v>
      </c>
      <c r="J61" t="s">
        <v>221</v>
      </c>
      <c r="K61" t="s">
        <v>17</v>
      </c>
      <c r="L61" t="e" vm="1">
        <v>#VALUE!</v>
      </c>
    </row>
    <row r="62" spans="1:12">
      <c r="A62" t="s">
        <v>222</v>
      </c>
      <c r="B62" s="3">
        <v>45624</v>
      </c>
      <c r="C62" t="s">
        <v>35</v>
      </c>
      <c r="D62" t="s">
        <v>223</v>
      </c>
      <c r="E62" t="s">
        <v>96</v>
      </c>
      <c r="F62">
        <v>3</v>
      </c>
      <c r="G62">
        <v>26980</v>
      </c>
      <c r="H62">
        <v>80940</v>
      </c>
      <c r="I62">
        <v>5</v>
      </c>
      <c r="J62" t="s">
        <v>224</v>
      </c>
      <c r="K62" t="s">
        <v>17</v>
      </c>
      <c r="L62" t="e" vm="1">
        <v>#VALUE!</v>
      </c>
    </row>
    <row r="63" spans="1:12">
      <c r="A63" t="s">
        <v>225</v>
      </c>
      <c r="B63" s="3">
        <v>45524</v>
      </c>
      <c r="C63" t="s">
        <v>226</v>
      </c>
      <c r="D63" t="s">
        <v>227</v>
      </c>
      <c r="E63" t="s">
        <v>15</v>
      </c>
      <c r="F63">
        <v>5</v>
      </c>
      <c r="G63">
        <v>20633</v>
      </c>
      <c r="H63">
        <v>103165</v>
      </c>
      <c r="I63">
        <v>3</v>
      </c>
      <c r="J63" t="s">
        <v>228</v>
      </c>
      <c r="K63" t="s">
        <v>27</v>
      </c>
      <c r="L63" t="e" vm="2">
        <v>#VALUE!</v>
      </c>
    </row>
    <row r="64" spans="1:12">
      <c r="A64" t="s">
        <v>383</v>
      </c>
      <c r="B64" s="3">
        <v>45406</v>
      </c>
      <c r="C64" t="s">
        <v>229</v>
      </c>
      <c r="D64" t="s">
        <v>230</v>
      </c>
      <c r="E64" t="s">
        <v>72</v>
      </c>
      <c r="F64">
        <v>1</v>
      </c>
      <c r="G64">
        <v>42023</v>
      </c>
      <c r="H64">
        <v>42023</v>
      </c>
      <c r="I64">
        <v>5</v>
      </c>
      <c r="J64" t="s">
        <v>231</v>
      </c>
      <c r="L64" t="e" vm="4">
        <v>#VALUE!</v>
      </c>
    </row>
    <row r="65" spans="1:12">
      <c r="A65" t="s">
        <v>232</v>
      </c>
      <c r="B65" s="3">
        <v>45586</v>
      </c>
      <c r="C65" t="s">
        <v>233</v>
      </c>
      <c r="D65" t="s">
        <v>234</v>
      </c>
      <c r="E65" t="s">
        <v>37</v>
      </c>
      <c r="F65">
        <v>3</v>
      </c>
      <c r="G65">
        <v>27721</v>
      </c>
      <c r="H65">
        <v>83163</v>
      </c>
      <c r="I65">
        <v>2</v>
      </c>
      <c r="J65" t="s">
        <v>235</v>
      </c>
      <c r="K65" t="s">
        <v>33</v>
      </c>
      <c r="L65" t="e" vm="3">
        <v>#VALUE!</v>
      </c>
    </row>
    <row r="66" spans="1:12">
      <c r="A66" t="s">
        <v>384</v>
      </c>
      <c r="B66" s="3">
        <v>45704</v>
      </c>
      <c r="C66" t="s">
        <v>124</v>
      </c>
      <c r="D66" t="s">
        <v>236</v>
      </c>
      <c r="E66" t="s">
        <v>45</v>
      </c>
      <c r="F66">
        <v>3</v>
      </c>
      <c r="G66">
        <v>24060</v>
      </c>
      <c r="H66">
        <v>72180</v>
      </c>
      <c r="I66">
        <v>5</v>
      </c>
      <c r="J66" t="s">
        <v>237</v>
      </c>
      <c r="L66" t="e" vm="4">
        <v>#VALUE!</v>
      </c>
    </row>
    <row r="67" spans="1:12">
      <c r="A67" t="s">
        <v>238</v>
      </c>
      <c r="B67" s="3">
        <v>45602</v>
      </c>
      <c r="C67" t="s">
        <v>239</v>
      </c>
      <c r="D67" t="s">
        <v>240</v>
      </c>
      <c r="E67" t="s">
        <v>31</v>
      </c>
      <c r="F67">
        <v>3</v>
      </c>
      <c r="G67">
        <v>32971</v>
      </c>
      <c r="H67">
        <v>98913</v>
      </c>
      <c r="I67">
        <v>2</v>
      </c>
      <c r="J67" t="s">
        <v>241</v>
      </c>
      <c r="K67" t="s">
        <v>27</v>
      </c>
      <c r="L67" t="e" vm="2">
        <v>#VALUE!</v>
      </c>
    </row>
    <row r="68" spans="1:12">
      <c r="A68" t="s">
        <v>394</v>
      </c>
      <c r="B68" s="3">
        <v>45702</v>
      </c>
      <c r="C68" t="s">
        <v>65</v>
      </c>
      <c r="D68" t="s">
        <v>242</v>
      </c>
      <c r="E68" t="s">
        <v>67</v>
      </c>
      <c r="F68">
        <v>2</v>
      </c>
      <c r="G68">
        <v>6227</v>
      </c>
      <c r="H68">
        <v>12454</v>
      </c>
      <c r="I68">
        <v>5</v>
      </c>
      <c r="J68" t="s">
        <v>243</v>
      </c>
      <c r="L68" t="e" vm="4">
        <v>#VALUE!</v>
      </c>
    </row>
    <row r="69" spans="1:12">
      <c r="A69" t="s">
        <v>244</v>
      </c>
      <c r="B69" s="3">
        <v>45418</v>
      </c>
      <c r="C69" t="s">
        <v>245</v>
      </c>
      <c r="D69" t="s">
        <v>246</v>
      </c>
      <c r="E69" t="s">
        <v>54</v>
      </c>
      <c r="F69">
        <v>3</v>
      </c>
      <c r="G69">
        <v>19681</v>
      </c>
      <c r="H69">
        <v>59043</v>
      </c>
      <c r="I69">
        <v>2</v>
      </c>
      <c r="J69" t="s">
        <v>247</v>
      </c>
      <c r="K69" t="s">
        <v>27</v>
      </c>
      <c r="L69" t="e" vm="2">
        <v>#VALUE!</v>
      </c>
    </row>
    <row r="70" spans="1:12">
      <c r="A70" t="s">
        <v>248</v>
      </c>
      <c r="B70" s="3">
        <v>45552</v>
      </c>
      <c r="C70" t="s">
        <v>249</v>
      </c>
      <c r="D70" t="s">
        <v>250</v>
      </c>
      <c r="E70" t="s">
        <v>37</v>
      </c>
      <c r="F70">
        <v>1</v>
      </c>
      <c r="G70">
        <v>22055</v>
      </c>
      <c r="H70">
        <v>22055</v>
      </c>
      <c r="I70">
        <v>5</v>
      </c>
      <c r="J70" t="s">
        <v>251</v>
      </c>
      <c r="K70" t="s">
        <v>33</v>
      </c>
      <c r="L70" t="e" vm="3">
        <v>#VALUE!</v>
      </c>
    </row>
    <row r="71" spans="1:12">
      <c r="A71" t="s">
        <v>393</v>
      </c>
      <c r="B71" s="3">
        <v>45656</v>
      </c>
      <c r="C71" t="s">
        <v>219</v>
      </c>
      <c r="D71" t="s">
        <v>252</v>
      </c>
      <c r="E71" t="s">
        <v>25</v>
      </c>
      <c r="F71">
        <v>3</v>
      </c>
      <c r="G71">
        <v>48634</v>
      </c>
      <c r="H71">
        <v>145902</v>
      </c>
      <c r="I71">
        <v>3</v>
      </c>
      <c r="J71" t="s">
        <v>253</v>
      </c>
      <c r="L71" t="e" vm="4">
        <v>#VALUE!</v>
      </c>
    </row>
    <row r="72" spans="1:12">
      <c r="A72" t="s">
        <v>392</v>
      </c>
      <c r="B72" s="3">
        <v>45586</v>
      </c>
      <c r="C72" t="s">
        <v>254</v>
      </c>
      <c r="D72" t="s">
        <v>255</v>
      </c>
      <c r="E72" t="s">
        <v>58</v>
      </c>
      <c r="F72">
        <v>2</v>
      </c>
      <c r="G72">
        <v>30958</v>
      </c>
      <c r="H72">
        <v>61916</v>
      </c>
      <c r="I72">
        <v>5</v>
      </c>
      <c r="J72" t="s">
        <v>256</v>
      </c>
      <c r="L72" t="e" vm="4">
        <v>#VALUE!</v>
      </c>
    </row>
    <row r="73" spans="1:12">
      <c r="A73" t="s">
        <v>257</v>
      </c>
      <c r="B73" s="3">
        <v>45547</v>
      </c>
      <c r="C73" t="s">
        <v>258</v>
      </c>
      <c r="D73" t="s">
        <v>259</v>
      </c>
      <c r="E73" t="s">
        <v>31</v>
      </c>
      <c r="F73">
        <v>5</v>
      </c>
      <c r="G73">
        <v>25475</v>
      </c>
      <c r="H73">
        <v>127375</v>
      </c>
      <c r="I73">
        <v>4</v>
      </c>
      <c r="J73" t="s">
        <v>260</v>
      </c>
      <c r="K73" t="s">
        <v>17</v>
      </c>
      <c r="L73" t="e" vm="1">
        <v>#VALUE!</v>
      </c>
    </row>
    <row r="74" spans="1:12">
      <c r="A74" t="s">
        <v>261</v>
      </c>
      <c r="B74" s="3">
        <v>45370</v>
      </c>
      <c r="C74" t="s">
        <v>262</v>
      </c>
      <c r="D74" t="s">
        <v>242</v>
      </c>
      <c r="E74" t="s">
        <v>25</v>
      </c>
      <c r="F74">
        <v>2</v>
      </c>
      <c r="G74">
        <v>23700</v>
      </c>
      <c r="H74">
        <v>47400</v>
      </c>
      <c r="I74">
        <v>1</v>
      </c>
      <c r="J74" t="s">
        <v>263</v>
      </c>
      <c r="K74" t="s">
        <v>33</v>
      </c>
      <c r="L74" t="e" vm="3">
        <v>#VALUE!</v>
      </c>
    </row>
    <row r="75" spans="1:12">
      <c r="A75" t="s">
        <v>264</v>
      </c>
      <c r="B75" s="3">
        <v>45373</v>
      </c>
      <c r="C75" t="s">
        <v>146</v>
      </c>
      <c r="D75" t="s">
        <v>265</v>
      </c>
      <c r="E75" t="s">
        <v>31</v>
      </c>
      <c r="F75">
        <v>3</v>
      </c>
      <c r="G75">
        <v>27893</v>
      </c>
      <c r="H75">
        <v>83679</v>
      </c>
      <c r="I75">
        <v>5</v>
      </c>
      <c r="J75" t="s">
        <v>266</v>
      </c>
      <c r="K75" t="s">
        <v>27</v>
      </c>
      <c r="L75" t="e" vm="2">
        <v>#VALUE!</v>
      </c>
    </row>
    <row r="76" spans="1:12">
      <c r="A76" t="s">
        <v>386</v>
      </c>
      <c r="B76" s="3">
        <v>45729</v>
      </c>
      <c r="C76" t="s">
        <v>267</v>
      </c>
      <c r="D76" t="s">
        <v>268</v>
      </c>
      <c r="E76" t="s">
        <v>96</v>
      </c>
      <c r="F76">
        <v>3</v>
      </c>
      <c r="G76">
        <v>42687</v>
      </c>
      <c r="H76">
        <v>128061</v>
      </c>
      <c r="I76">
        <v>4</v>
      </c>
      <c r="J76" t="s">
        <v>269</v>
      </c>
      <c r="L76" t="e" vm="4">
        <v>#VALUE!</v>
      </c>
    </row>
    <row r="77" spans="1:12">
      <c r="A77" t="s">
        <v>387</v>
      </c>
      <c r="B77" s="3">
        <v>45372</v>
      </c>
      <c r="C77" t="s">
        <v>270</v>
      </c>
      <c r="D77" t="s">
        <v>271</v>
      </c>
      <c r="E77" t="s">
        <v>37</v>
      </c>
      <c r="F77">
        <v>5</v>
      </c>
      <c r="G77">
        <v>31043</v>
      </c>
      <c r="H77">
        <v>155215</v>
      </c>
      <c r="I77">
        <v>1</v>
      </c>
      <c r="J77" t="s">
        <v>272</v>
      </c>
      <c r="L77" t="e" vm="4">
        <v>#VALUE!</v>
      </c>
    </row>
    <row r="78" spans="1:12">
      <c r="A78" t="s">
        <v>273</v>
      </c>
      <c r="B78" s="3">
        <v>45392</v>
      </c>
      <c r="C78" t="s">
        <v>127</v>
      </c>
      <c r="D78" t="s">
        <v>274</v>
      </c>
      <c r="E78" t="s">
        <v>72</v>
      </c>
      <c r="F78">
        <v>5</v>
      </c>
      <c r="G78">
        <v>10701</v>
      </c>
      <c r="H78">
        <v>53505</v>
      </c>
      <c r="I78">
        <v>1</v>
      </c>
      <c r="J78" t="s">
        <v>275</v>
      </c>
      <c r="K78" t="s">
        <v>33</v>
      </c>
      <c r="L78" t="e" vm="3">
        <v>#VALUE!</v>
      </c>
    </row>
    <row r="79" spans="1:12">
      <c r="A79" t="s">
        <v>276</v>
      </c>
      <c r="B79" s="3">
        <v>45570</v>
      </c>
      <c r="C79" t="s">
        <v>277</v>
      </c>
      <c r="D79" t="s">
        <v>278</v>
      </c>
      <c r="E79" t="s">
        <v>67</v>
      </c>
      <c r="F79">
        <v>5</v>
      </c>
      <c r="G79">
        <v>23417</v>
      </c>
      <c r="H79">
        <v>117085</v>
      </c>
      <c r="I79">
        <v>4</v>
      </c>
      <c r="J79" t="s">
        <v>279</v>
      </c>
      <c r="K79" t="s">
        <v>33</v>
      </c>
      <c r="L79" t="e" vm="3">
        <v>#VALUE!</v>
      </c>
    </row>
    <row r="80" spans="1:12">
      <c r="A80" t="s">
        <v>280</v>
      </c>
      <c r="B80" s="3">
        <v>45431</v>
      </c>
      <c r="C80" t="s">
        <v>52</v>
      </c>
      <c r="D80" t="s">
        <v>281</v>
      </c>
      <c r="E80" t="s">
        <v>58</v>
      </c>
      <c r="F80">
        <v>3</v>
      </c>
      <c r="G80">
        <v>28666</v>
      </c>
      <c r="H80">
        <v>85998</v>
      </c>
      <c r="I80">
        <v>5</v>
      </c>
      <c r="J80" t="s">
        <v>282</v>
      </c>
      <c r="K80" t="s">
        <v>33</v>
      </c>
      <c r="L80" t="e" vm="3">
        <v>#VALUE!</v>
      </c>
    </row>
    <row r="81" spans="1:12">
      <c r="B81" s="3"/>
    </row>
    <row r="82" spans="1:12">
      <c r="B82" s="3"/>
    </row>
    <row r="83" spans="1:12">
      <c r="A83" t="s">
        <v>283</v>
      </c>
      <c r="B83" s="3">
        <v>45559</v>
      </c>
      <c r="C83" t="s">
        <v>284</v>
      </c>
      <c r="D83" t="s">
        <v>285</v>
      </c>
      <c r="E83" t="s">
        <v>25</v>
      </c>
      <c r="F83">
        <v>4</v>
      </c>
      <c r="G83">
        <v>38939</v>
      </c>
      <c r="H83">
        <v>155756</v>
      </c>
      <c r="I83">
        <v>5</v>
      </c>
      <c r="J83" t="s">
        <v>286</v>
      </c>
      <c r="K83" t="s">
        <v>27</v>
      </c>
      <c r="L83" t="e" vm="2">
        <v>#VALUE!</v>
      </c>
    </row>
    <row r="84" spans="1:12">
      <c r="A84" t="s">
        <v>287</v>
      </c>
      <c r="B84" s="3">
        <v>45716</v>
      </c>
      <c r="C84" t="s">
        <v>265</v>
      </c>
      <c r="D84" t="s">
        <v>288</v>
      </c>
      <c r="E84" t="s">
        <v>45</v>
      </c>
      <c r="F84">
        <v>2</v>
      </c>
      <c r="G84">
        <v>6527</v>
      </c>
      <c r="H84">
        <v>13054</v>
      </c>
      <c r="I84">
        <v>5</v>
      </c>
      <c r="J84" t="s">
        <v>289</v>
      </c>
      <c r="K84" t="s">
        <v>17</v>
      </c>
      <c r="L84" t="e" vm="1">
        <v>#VALUE!</v>
      </c>
    </row>
    <row r="85" spans="1:12">
      <c r="A85" t="s">
        <v>388</v>
      </c>
      <c r="B85" s="3">
        <v>45529</v>
      </c>
      <c r="C85" t="s">
        <v>290</v>
      </c>
      <c r="D85" t="s">
        <v>291</v>
      </c>
      <c r="E85" t="s">
        <v>58</v>
      </c>
      <c r="F85">
        <v>3</v>
      </c>
      <c r="G85">
        <v>21333</v>
      </c>
      <c r="H85">
        <v>63999</v>
      </c>
      <c r="I85">
        <v>4</v>
      </c>
      <c r="J85" t="s">
        <v>292</v>
      </c>
      <c r="L85" t="e" vm="4">
        <v>#VALUE!</v>
      </c>
    </row>
    <row r="86" spans="1:12">
      <c r="A86" t="s">
        <v>293</v>
      </c>
      <c r="B86" s="3">
        <v>45714</v>
      </c>
      <c r="C86" t="s">
        <v>294</v>
      </c>
      <c r="D86" t="s">
        <v>295</v>
      </c>
      <c r="E86" t="s">
        <v>15</v>
      </c>
      <c r="F86">
        <v>2</v>
      </c>
      <c r="G86">
        <v>45231</v>
      </c>
      <c r="H86">
        <v>90462</v>
      </c>
      <c r="I86">
        <v>2</v>
      </c>
      <c r="J86" t="s">
        <v>296</v>
      </c>
      <c r="K86" t="s">
        <v>17</v>
      </c>
      <c r="L86" t="e" vm="1">
        <v>#VALUE!</v>
      </c>
    </row>
    <row r="87" spans="1:12">
      <c r="A87" t="s">
        <v>297</v>
      </c>
      <c r="B87" s="3">
        <v>45405</v>
      </c>
      <c r="C87" t="s">
        <v>123</v>
      </c>
      <c r="D87" t="s">
        <v>298</v>
      </c>
      <c r="E87" t="s">
        <v>31</v>
      </c>
      <c r="F87">
        <v>4</v>
      </c>
      <c r="G87">
        <v>20451</v>
      </c>
      <c r="H87">
        <v>81804</v>
      </c>
      <c r="I87">
        <v>3</v>
      </c>
      <c r="J87" t="s">
        <v>299</v>
      </c>
      <c r="K87" t="s">
        <v>33</v>
      </c>
      <c r="L87" t="e" vm="3">
        <v>#VALUE!</v>
      </c>
    </row>
    <row r="88" spans="1:12">
      <c r="A88" t="s">
        <v>300</v>
      </c>
      <c r="B88" s="3">
        <v>45420</v>
      </c>
      <c r="C88" t="s">
        <v>30</v>
      </c>
      <c r="D88" t="s">
        <v>301</v>
      </c>
      <c r="E88" t="s">
        <v>15</v>
      </c>
      <c r="F88">
        <v>5</v>
      </c>
      <c r="G88">
        <v>12503</v>
      </c>
      <c r="H88">
        <v>62515</v>
      </c>
      <c r="I88">
        <v>2</v>
      </c>
      <c r="J88" t="s">
        <v>302</v>
      </c>
      <c r="K88" t="s">
        <v>17</v>
      </c>
      <c r="L88" t="e" vm="1">
        <v>#VALUE!</v>
      </c>
    </row>
    <row r="89" spans="1:12">
      <c r="A89" t="s">
        <v>303</v>
      </c>
      <c r="B89" s="3">
        <v>45721</v>
      </c>
      <c r="C89" t="s">
        <v>304</v>
      </c>
      <c r="D89" t="s">
        <v>305</v>
      </c>
      <c r="E89" t="s">
        <v>54</v>
      </c>
      <c r="F89">
        <v>2</v>
      </c>
      <c r="G89">
        <v>28922</v>
      </c>
      <c r="H89">
        <v>57844</v>
      </c>
      <c r="I89">
        <v>5</v>
      </c>
      <c r="J89" t="s">
        <v>306</v>
      </c>
      <c r="K89" t="s">
        <v>33</v>
      </c>
      <c r="L89" t="e" vm="3">
        <v>#VALUE!</v>
      </c>
    </row>
    <row r="90" spans="1:12">
      <c r="A90" t="s">
        <v>307</v>
      </c>
      <c r="B90" s="3">
        <v>45690</v>
      </c>
      <c r="C90" t="s">
        <v>308</v>
      </c>
      <c r="D90" t="s">
        <v>309</v>
      </c>
      <c r="E90" t="s">
        <v>72</v>
      </c>
      <c r="F90">
        <v>1</v>
      </c>
      <c r="G90">
        <v>11309</v>
      </c>
      <c r="H90">
        <v>11309</v>
      </c>
      <c r="I90">
        <v>5</v>
      </c>
      <c r="J90" t="s">
        <v>310</v>
      </c>
      <c r="K90" t="s">
        <v>17</v>
      </c>
      <c r="L90" t="e" vm="1">
        <v>#VALUE!</v>
      </c>
    </row>
    <row r="91" spans="1:12">
      <c r="A91" t="s">
        <v>311</v>
      </c>
      <c r="B91" s="3">
        <v>45712</v>
      </c>
      <c r="C91" t="s">
        <v>312</v>
      </c>
      <c r="D91" t="s">
        <v>313</v>
      </c>
      <c r="E91" t="s">
        <v>31</v>
      </c>
      <c r="F91">
        <v>1</v>
      </c>
      <c r="G91">
        <v>22860</v>
      </c>
      <c r="H91">
        <v>22860</v>
      </c>
      <c r="I91">
        <v>5</v>
      </c>
      <c r="J91" t="s">
        <v>314</v>
      </c>
      <c r="K91" t="s">
        <v>27</v>
      </c>
      <c r="L91" t="e" vm="2">
        <v>#VALUE!</v>
      </c>
    </row>
    <row r="92" spans="1:12">
      <c r="A92" t="s">
        <v>315</v>
      </c>
      <c r="B92" s="3">
        <v>45679</v>
      </c>
      <c r="C92" t="s">
        <v>262</v>
      </c>
      <c r="D92" t="s">
        <v>316</v>
      </c>
      <c r="E92" t="s">
        <v>31</v>
      </c>
      <c r="F92">
        <v>2</v>
      </c>
      <c r="G92">
        <v>41202</v>
      </c>
      <c r="H92">
        <v>82404</v>
      </c>
      <c r="I92">
        <v>5</v>
      </c>
      <c r="J92" t="s">
        <v>317</v>
      </c>
      <c r="K92" t="s">
        <v>33</v>
      </c>
      <c r="L92" t="e" vm="3">
        <v>#VALUE!</v>
      </c>
    </row>
    <row r="93" spans="1:12">
      <c r="A93" t="s">
        <v>318</v>
      </c>
      <c r="B93" s="3">
        <v>45413</v>
      </c>
      <c r="C93" t="s">
        <v>319</v>
      </c>
      <c r="D93" t="s">
        <v>320</v>
      </c>
      <c r="E93" t="s">
        <v>67</v>
      </c>
      <c r="F93">
        <v>2</v>
      </c>
      <c r="G93">
        <v>32675</v>
      </c>
      <c r="H93">
        <v>65350</v>
      </c>
      <c r="I93">
        <v>2</v>
      </c>
      <c r="J93" t="s">
        <v>321</v>
      </c>
      <c r="K93" t="s">
        <v>27</v>
      </c>
      <c r="L93" t="e" vm="2">
        <v>#VALUE!</v>
      </c>
    </row>
    <row r="94" spans="1:12">
      <c r="A94" t="s">
        <v>322</v>
      </c>
      <c r="B94" s="3">
        <v>45479</v>
      </c>
      <c r="C94" t="s">
        <v>207</v>
      </c>
      <c r="D94" t="s">
        <v>323</v>
      </c>
      <c r="E94" t="s">
        <v>54</v>
      </c>
      <c r="F94">
        <v>5</v>
      </c>
      <c r="G94">
        <v>35934</v>
      </c>
      <c r="H94">
        <v>179670</v>
      </c>
      <c r="I94">
        <v>5</v>
      </c>
      <c r="J94" t="s">
        <v>324</v>
      </c>
      <c r="K94" t="s">
        <v>33</v>
      </c>
      <c r="L94" t="e" vm="3">
        <v>#VALUE!</v>
      </c>
    </row>
    <row r="95" spans="1:12">
      <c r="A95" t="s">
        <v>325</v>
      </c>
      <c r="B95" s="3">
        <v>45673</v>
      </c>
      <c r="C95" t="s">
        <v>326</v>
      </c>
      <c r="D95" t="s">
        <v>327</v>
      </c>
      <c r="E95" t="s">
        <v>37</v>
      </c>
      <c r="F95">
        <v>1</v>
      </c>
      <c r="G95">
        <v>40024</v>
      </c>
      <c r="H95">
        <v>40024</v>
      </c>
      <c r="I95">
        <v>5</v>
      </c>
      <c r="J95" t="s">
        <v>328</v>
      </c>
      <c r="K95" t="s">
        <v>27</v>
      </c>
      <c r="L95" t="e" vm="2">
        <v>#VALUE!</v>
      </c>
    </row>
    <row r="96" spans="1:12">
      <c r="B96" s="3"/>
    </row>
    <row r="97" spans="1:12">
      <c r="A97" t="s">
        <v>329</v>
      </c>
      <c r="B97" s="3">
        <v>45378</v>
      </c>
      <c r="C97" t="s">
        <v>239</v>
      </c>
      <c r="D97" t="s">
        <v>36</v>
      </c>
      <c r="E97" t="s">
        <v>25</v>
      </c>
      <c r="F97">
        <v>4</v>
      </c>
      <c r="G97">
        <v>41137</v>
      </c>
      <c r="H97">
        <v>164548</v>
      </c>
      <c r="I97">
        <v>3</v>
      </c>
      <c r="J97" t="s">
        <v>330</v>
      </c>
      <c r="K97" t="s">
        <v>17</v>
      </c>
      <c r="L97" t="e" vm="1">
        <v>#VALUE!</v>
      </c>
    </row>
    <row r="98" spans="1:12">
      <c r="A98" t="s">
        <v>331</v>
      </c>
      <c r="B98" s="3">
        <v>45425</v>
      </c>
      <c r="C98" t="s">
        <v>332</v>
      </c>
      <c r="D98" t="s">
        <v>333</v>
      </c>
      <c r="E98" t="s">
        <v>67</v>
      </c>
      <c r="F98">
        <v>2</v>
      </c>
      <c r="G98">
        <v>28303</v>
      </c>
      <c r="H98">
        <v>56606</v>
      </c>
      <c r="I98">
        <v>5</v>
      </c>
      <c r="J98" t="s">
        <v>334</v>
      </c>
      <c r="K98" t="s">
        <v>17</v>
      </c>
      <c r="L98" t="e" vm="1">
        <v>#VALUE!</v>
      </c>
    </row>
    <row r="99" spans="1:12">
      <c r="A99" t="s">
        <v>335</v>
      </c>
      <c r="B99" s="3">
        <v>45402</v>
      </c>
      <c r="C99" t="s">
        <v>70</v>
      </c>
      <c r="D99" t="s">
        <v>281</v>
      </c>
      <c r="E99" t="s">
        <v>25</v>
      </c>
      <c r="F99">
        <v>3</v>
      </c>
      <c r="G99">
        <v>31681</v>
      </c>
      <c r="H99">
        <v>95043</v>
      </c>
      <c r="I99">
        <v>5</v>
      </c>
      <c r="J99" t="s">
        <v>336</v>
      </c>
      <c r="K99" t="s">
        <v>33</v>
      </c>
      <c r="L99" t="e" vm="3">
        <v>#VALUE!</v>
      </c>
    </row>
    <row r="100" spans="1:12">
      <c r="A100" t="s">
        <v>337</v>
      </c>
      <c r="B100" s="3">
        <v>45697</v>
      </c>
      <c r="C100" t="s">
        <v>338</v>
      </c>
      <c r="D100" t="s">
        <v>166</v>
      </c>
      <c r="E100" t="s">
        <v>96</v>
      </c>
      <c r="F100">
        <v>2</v>
      </c>
      <c r="G100">
        <v>14080</v>
      </c>
      <c r="H100">
        <v>28160</v>
      </c>
      <c r="I100">
        <v>5</v>
      </c>
      <c r="J100" t="s">
        <v>339</v>
      </c>
      <c r="K100" t="s">
        <v>17</v>
      </c>
      <c r="L100" t="e" vm="1">
        <v>#VALUE!</v>
      </c>
    </row>
    <row r="101" spans="1:12">
      <c r="A101" t="s">
        <v>340</v>
      </c>
      <c r="B101" s="3">
        <v>45661</v>
      </c>
      <c r="C101" t="s">
        <v>341</v>
      </c>
      <c r="D101" t="s">
        <v>104</v>
      </c>
      <c r="E101" t="s">
        <v>25</v>
      </c>
      <c r="F101">
        <v>1</v>
      </c>
      <c r="G101">
        <v>7703</v>
      </c>
      <c r="H101">
        <v>7703</v>
      </c>
      <c r="I101">
        <v>3</v>
      </c>
      <c r="J101" t="s">
        <v>342</v>
      </c>
      <c r="K101" t="s">
        <v>33</v>
      </c>
      <c r="L101" t="e" vm="3">
        <v>#VALUE!</v>
      </c>
    </row>
    <row r="102" spans="1:12">
      <c r="A102" t="s">
        <v>343</v>
      </c>
      <c r="B102" s="3">
        <v>45392</v>
      </c>
      <c r="C102" t="s">
        <v>344</v>
      </c>
      <c r="D102" t="s">
        <v>345</v>
      </c>
      <c r="E102" t="s">
        <v>54</v>
      </c>
      <c r="F102">
        <v>5</v>
      </c>
      <c r="G102">
        <v>48514</v>
      </c>
      <c r="H102">
        <v>242570</v>
      </c>
      <c r="I102">
        <v>4</v>
      </c>
      <c r="J102" t="s">
        <v>346</v>
      </c>
      <c r="K102" t="s">
        <v>27</v>
      </c>
      <c r="L102" t="e" vm="2">
        <v>#VALUE!</v>
      </c>
    </row>
    <row r="103" spans="1:12">
      <c r="A103" t="s">
        <v>389</v>
      </c>
      <c r="B103" s="3">
        <v>45471</v>
      </c>
      <c r="C103" t="s">
        <v>347</v>
      </c>
      <c r="D103" t="s">
        <v>348</v>
      </c>
      <c r="E103" t="s">
        <v>96</v>
      </c>
      <c r="F103">
        <v>1</v>
      </c>
      <c r="G103">
        <v>49914</v>
      </c>
      <c r="H103">
        <v>49914</v>
      </c>
      <c r="I103">
        <v>2</v>
      </c>
      <c r="J103" t="s">
        <v>349</v>
      </c>
      <c r="L103" t="e" vm="4">
        <v>#VALUE!</v>
      </c>
    </row>
    <row r="104" spans="1:12">
      <c r="A104" t="s">
        <v>350</v>
      </c>
      <c r="B104" s="3">
        <v>45475</v>
      </c>
      <c r="C104" t="s">
        <v>351</v>
      </c>
      <c r="D104" t="s">
        <v>352</v>
      </c>
      <c r="E104" t="s">
        <v>37</v>
      </c>
      <c r="F104">
        <v>2</v>
      </c>
      <c r="G104">
        <v>19814</v>
      </c>
      <c r="H104">
        <v>39628</v>
      </c>
      <c r="I104">
        <v>5</v>
      </c>
      <c r="J104" t="s">
        <v>353</v>
      </c>
      <c r="K104" t="s">
        <v>17</v>
      </c>
      <c r="L104" t="e" vm="1">
        <v>#VALUE!</v>
      </c>
    </row>
    <row r="105" spans="1:12">
      <c r="B105" s="3"/>
    </row>
    <row r="106" spans="1:12">
      <c r="A106" t="s">
        <v>354</v>
      </c>
      <c r="B106" s="3">
        <v>45601</v>
      </c>
      <c r="C106" t="s">
        <v>355</v>
      </c>
      <c r="D106" t="s">
        <v>356</v>
      </c>
      <c r="E106" t="s">
        <v>96</v>
      </c>
      <c r="F106">
        <v>4</v>
      </c>
      <c r="G106">
        <v>30145</v>
      </c>
      <c r="H106">
        <v>120580</v>
      </c>
      <c r="I106">
        <v>5</v>
      </c>
      <c r="J106" t="s">
        <v>357</v>
      </c>
      <c r="K106" t="s">
        <v>17</v>
      </c>
      <c r="L106" t="e" vm="1">
        <v>#VALUE!</v>
      </c>
    </row>
    <row r="107" spans="1:12">
      <c r="A107" t="s">
        <v>358</v>
      </c>
      <c r="B107" s="3">
        <v>45459</v>
      </c>
      <c r="C107" t="s">
        <v>326</v>
      </c>
      <c r="D107" t="s">
        <v>49</v>
      </c>
      <c r="E107" t="s">
        <v>45</v>
      </c>
      <c r="F107">
        <v>1</v>
      </c>
      <c r="G107">
        <v>22172</v>
      </c>
      <c r="H107">
        <v>22172</v>
      </c>
      <c r="I107">
        <v>5</v>
      </c>
      <c r="J107" t="s">
        <v>359</v>
      </c>
      <c r="K107" t="s">
        <v>17</v>
      </c>
      <c r="L107" t="e" vm="1">
        <v>#VALUE!</v>
      </c>
    </row>
    <row r="108" spans="1:12">
      <c r="A108" t="s">
        <v>360</v>
      </c>
      <c r="B108" s="3">
        <v>45418</v>
      </c>
      <c r="C108" t="s">
        <v>361</v>
      </c>
      <c r="D108" t="s">
        <v>24</v>
      </c>
      <c r="E108" t="s">
        <v>15</v>
      </c>
      <c r="F108">
        <v>3</v>
      </c>
      <c r="G108">
        <v>9601</v>
      </c>
      <c r="H108">
        <v>28803</v>
      </c>
      <c r="I108">
        <v>1</v>
      </c>
      <c r="J108" t="s">
        <v>362</v>
      </c>
      <c r="K108" t="s">
        <v>33</v>
      </c>
      <c r="L108" t="e" vm="3">
        <v>#VALUE!</v>
      </c>
    </row>
    <row r="109" spans="1:12">
      <c r="A109" t="s">
        <v>390</v>
      </c>
      <c r="B109" s="3">
        <v>45423</v>
      </c>
      <c r="C109" t="s">
        <v>127</v>
      </c>
      <c r="D109" t="s">
        <v>363</v>
      </c>
      <c r="E109" t="s">
        <v>58</v>
      </c>
      <c r="F109">
        <v>1</v>
      </c>
      <c r="G109">
        <v>8676</v>
      </c>
      <c r="H109">
        <v>8676</v>
      </c>
      <c r="I109">
        <v>5</v>
      </c>
      <c r="J109" t="s">
        <v>364</v>
      </c>
      <c r="L109" t="e" vm="4">
        <v>#VALUE!</v>
      </c>
    </row>
    <row r="110" spans="1:12">
      <c r="A110" t="s">
        <v>365</v>
      </c>
      <c r="B110" s="3">
        <v>45531</v>
      </c>
      <c r="C110" t="s">
        <v>366</v>
      </c>
      <c r="D110" t="s">
        <v>367</v>
      </c>
      <c r="E110" t="s">
        <v>58</v>
      </c>
      <c r="F110">
        <v>3</v>
      </c>
      <c r="G110">
        <v>14540</v>
      </c>
      <c r="H110">
        <v>43620</v>
      </c>
      <c r="I110">
        <v>5</v>
      </c>
      <c r="J110" t="s">
        <v>368</v>
      </c>
      <c r="K110" t="s">
        <v>17</v>
      </c>
      <c r="L110" t="e" vm="1">
        <v>#VALUE!</v>
      </c>
    </row>
    <row r="111" spans="1:12">
      <c r="A111" t="s">
        <v>369</v>
      </c>
      <c r="B111" s="3">
        <v>45402</v>
      </c>
      <c r="C111" t="s">
        <v>370</v>
      </c>
      <c r="D111" t="s">
        <v>371</v>
      </c>
      <c r="E111" t="s">
        <v>54</v>
      </c>
      <c r="F111">
        <v>4</v>
      </c>
      <c r="G111">
        <v>37261</v>
      </c>
      <c r="H111">
        <v>149044</v>
      </c>
      <c r="I111">
        <v>5</v>
      </c>
      <c r="J111" t="s">
        <v>372</v>
      </c>
      <c r="K111" t="s">
        <v>27</v>
      </c>
      <c r="L111" t="e" vm="2">
        <v>#VALUE!</v>
      </c>
    </row>
    <row r="112" spans="1:12">
      <c r="A112" t="s">
        <v>391</v>
      </c>
      <c r="B112" s="3">
        <v>45595</v>
      </c>
      <c r="C112" t="s">
        <v>134</v>
      </c>
      <c r="D112" t="s">
        <v>373</v>
      </c>
      <c r="E112" t="s">
        <v>96</v>
      </c>
      <c r="F112">
        <v>4</v>
      </c>
      <c r="G112">
        <v>27020</v>
      </c>
      <c r="H112">
        <v>108080</v>
      </c>
      <c r="I112">
        <v>5</v>
      </c>
      <c r="J112" t="s">
        <v>374</v>
      </c>
      <c r="L112" t="e" vm="4">
        <v>#VALUE!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5C00D-AD28-46DF-862E-006B87C2993F}">
  <dimension ref="A1:K101"/>
  <sheetViews>
    <sheetView topLeftCell="A86" workbookViewId="0">
      <selection activeCell="F2" sqref="F2"/>
    </sheetView>
  </sheetViews>
  <sheetFormatPr defaultRowHeight="24"/>
  <cols>
    <col min="1" max="1" width="16.3984375" bestFit="1" customWidth="1"/>
    <col min="2" max="2" width="10.09765625" bestFit="1" customWidth="1"/>
    <col min="3" max="3" width="17.796875" bestFit="1" customWidth="1"/>
    <col min="4" max="4" width="11.09765625" bestFit="1" customWidth="1"/>
    <col min="5" max="5" width="12.59765625" bestFit="1" customWidth="1"/>
    <col min="6" max="6" width="10.3984375" bestFit="1" customWidth="1"/>
    <col min="7" max="7" width="16.09765625" bestFit="1" customWidth="1"/>
    <col min="8" max="8" width="13.296875" bestFit="1" customWidth="1"/>
    <col min="9" max="9" width="9.69921875" bestFit="1" customWidth="1"/>
    <col min="10" max="10" width="17.8984375" bestFit="1" customWidth="1"/>
    <col min="11" max="11" width="18.296875" bestFit="1" customWidth="1"/>
  </cols>
  <sheetData>
    <row r="1" spans="1:11">
      <c r="A1" t="s">
        <v>0</v>
      </c>
      <c r="B1" t="s">
        <v>1</v>
      </c>
      <c r="C1" t="s">
        <v>395</v>
      </c>
      <c r="D1" t="s">
        <v>396</v>
      </c>
      <c r="E1" t="s">
        <v>397</v>
      </c>
      <c r="F1" t="s">
        <v>5</v>
      </c>
      <c r="G1" t="s">
        <v>6</v>
      </c>
      <c r="H1" t="s">
        <v>7</v>
      </c>
      <c r="I1" t="s">
        <v>8</v>
      </c>
      <c r="J1" t="s">
        <v>9</v>
      </c>
      <c r="K1" t="s">
        <v>10</v>
      </c>
    </row>
    <row r="2" spans="1:11">
      <c r="A2" s="4" t="s">
        <v>12</v>
      </c>
      <c r="B2" s="5">
        <v>45564</v>
      </c>
      <c r="C2" s="4" t="s">
        <v>398</v>
      </c>
      <c r="D2" s="4" t="s">
        <v>399</v>
      </c>
      <c r="E2" s="4" t="s">
        <v>400</v>
      </c>
      <c r="F2">
        <v>1</v>
      </c>
      <c r="G2">
        <v>31753</v>
      </c>
      <c r="H2">
        <v>31753</v>
      </c>
      <c r="I2">
        <v>3</v>
      </c>
      <c r="J2" s="4" t="s">
        <v>16</v>
      </c>
      <c r="K2" s="4" t="s">
        <v>17</v>
      </c>
    </row>
    <row r="3" spans="1:11">
      <c r="A3" s="4" t="s">
        <v>18</v>
      </c>
      <c r="B3" s="5">
        <v>45617</v>
      </c>
      <c r="C3" s="4" t="s">
        <v>401</v>
      </c>
      <c r="D3" s="4" t="s">
        <v>399</v>
      </c>
      <c r="E3" s="4" t="s">
        <v>400</v>
      </c>
      <c r="F3">
        <v>4</v>
      </c>
      <c r="G3">
        <v>32859</v>
      </c>
      <c r="H3">
        <v>131436</v>
      </c>
      <c r="I3">
        <v>5</v>
      </c>
      <c r="J3" s="4" t="s">
        <v>21</v>
      </c>
      <c r="K3" s="4" t="s">
        <v>17</v>
      </c>
    </row>
    <row r="4" spans="1:11">
      <c r="A4" s="4" t="s">
        <v>22</v>
      </c>
      <c r="B4" s="5">
        <v>45583</v>
      </c>
      <c r="C4" s="4" t="s">
        <v>402</v>
      </c>
      <c r="D4" s="4" t="s">
        <v>403</v>
      </c>
      <c r="E4" s="4" t="s">
        <v>400</v>
      </c>
      <c r="F4">
        <v>4</v>
      </c>
      <c r="G4">
        <v>43765</v>
      </c>
      <c r="H4">
        <v>175060</v>
      </c>
      <c r="I4">
        <v>2</v>
      </c>
      <c r="J4" s="4" t="s">
        <v>26</v>
      </c>
      <c r="K4" s="4" t="s">
        <v>27</v>
      </c>
    </row>
    <row r="5" spans="1:11">
      <c r="A5" s="4" t="s">
        <v>28</v>
      </c>
      <c r="B5" s="5">
        <v>45481</v>
      </c>
      <c r="C5" s="4" t="s">
        <v>404</v>
      </c>
      <c r="D5" s="4" t="s">
        <v>405</v>
      </c>
      <c r="E5" s="4" t="s">
        <v>400</v>
      </c>
      <c r="F5">
        <v>2</v>
      </c>
      <c r="G5">
        <v>29571</v>
      </c>
      <c r="H5">
        <v>59142</v>
      </c>
      <c r="I5">
        <v>2</v>
      </c>
      <c r="J5" s="4" t="s">
        <v>32</v>
      </c>
      <c r="K5" s="4" t="s">
        <v>33</v>
      </c>
    </row>
    <row r="6" spans="1:11">
      <c r="A6" s="4" t="s">
        <v>34</v>
      </c>
      <c r="B6" s="5">
        <v>45510</v>
      </c>
      <c r="C6" s="4" t="s">
        <v>406</v>
      </c>
      <c r="D6" s="4" t="s">
        <v>403</v>
      </c>
      <c r="E6" s="4" t="s">
        <v>407</v>
      </c>
      <c r="F6">
        <v>2</v>
      </c>
      <c r="G6">
        <v>19048</v>
      </c>
      <c r="H6">
        <v>38096</v>
      </c>
      <c r="I6">
        <v>3</v>
      </c>
      <c r="J6" s="4" t="s">
        <v>38</v>
      </c>
      <c r="K6" s="4" t="s">
        <v>17</v>
      </c>
    </row>
    <row r="7" spans="1:11">
      <c r="A7" s="4" t="s">
        <v>39</v>
      </c>
      <c r="B7" s="5">
        <v>45425</v>
      </c>
      <c r="C7" s="4" t="s">
        <v>408</v>
      </c>
      <c r="D7" s="4" t="s">
        <v>405</v>
      </c>
      <c r="E7" s="4" t="s">
        <v>400</v>
      </c>
      <c r="F7">
        <v>3</v>
      </c>
      <c r="G7">
        <v>10863</v>
      </c>
      <c r="H7">
        <v>32589</v>
      </c>
      <c r="I7">
        <v>1</v>
      </c>
      <c r="J7" s="4" t="s">
        <v>42</v>
      </c>
      <c r="K7" s="4" t="s">
        <v>17</v>
      </c>
    </row>
    <row r="8" spans="1:11">
      <c r="A8" s="4" t="s">
        <v>375</v>
      </c>
      <c r="B8" s="5">
        <v>45719</v>
      </c>
      <c r="C8" s="4" t="s">
        <v>409</v>
      </c>
      <c r="D8" s="4" t="s">
        <v>410</v>
      </c>
      <c r="E8" s="4" t="s">
        <v>400</v>
      </c>
      <c r="F8">
        <v>5</v>
      </c>
      <c r="G8">
        <v>44524</v>
      </c>
      <c r="H8">
        <v>222620</v>
      </c>
      <c r="I8">
        <v>2</v>
      </c>
      <c r="J8" s="4" t="s">
        <v>46</v>
      </c>
      <c r="K8" s="4" t="s">
        <v>411</v>
      </c>
    </row>
    <row r="9" spans="1:11">
      <c r="A9" s="4" t="s">
        <v>47</v>
      </c>
      <c r="B9" s="5">
        <v>45598</v>
      </c>
      <c r="C9" s="4" t="s">
        <v>412</v>
      </c>
      <c r="D9" s="4" t="s">
        <v>410</v>
      </c>
      <c r="E9" s="4" t="s">
        <v>400</v>
      </c>
      <c r="F9">
        <v>5</v>
      </c>
      <c r="G9">
        <v>15436</v>
      </c>
      <c r="H9">
        <v>77180</v>
      </c>
      <c r="I9">
        <v>4</v>
      </c>
      <c r="J9" s="4" t="s">
        <v>50</v>
      </c>
      <c r="K9" s="4" t="s">
        <v>33</v>
      </c>
    </row>
    <row r="10" spans="1:11">
      <c r="A10" s="4" t="s">
        <v>51</v>
      </c>
      <c r="B10" s="5">
        <v>45384</v>
      </c>
      <c r="C10" s="4" t="s">
        <v>413</v>
      </c>
      <c r="D10" s="4" t="s">
        <v>414</v>
      </c>
      <c r="E10" s="4" t="s">
        <v>400</v>
      </c>
      <c r="F10">
        <v>1</v>
      </c>
      <c r="G10">
        <v>5658</v>
      </c>
      <c r="H10">
        <v>5658</v>
      </c>
      <c r="I10">
        <v>4</v>
      </c>
      <c r="J10" s="4" t="s">
        <v>55</v>
      </c>
      <c r="K10" s="4" t="s">
        <v>27</v>
      </c>
    </row>
    <row r="11" spans="1:11">
      <c r="A11" s="4" t="s">
        <v>56</v>
      </c>
      <c r="B11" s="5">
        <v>45689</v>
      </c>
      <c r="C11" s="4" t="s">
        <v>415</v>
      </c>
      <c r="D11" s="4" t="s">
        <v>399</v>
      </c>
      <c r="E11" s="4" t="s">
        <v>407</v>
      </c>
      <c r="F11">
        <v>3</v>
      </c>
      <c r="G11">
        <v>47796</v>
      </c>
      <c r="H11">
        <v>143388</v>
      </c>
      <c r="I11">
        <v>5</v>
      </c>
      <c r="J11" s="4" t="s">
        <v>59</v>
      </c>
      <c r="K11" s="4" t="s">
        <v>17</v>
      </c>
    </row>
    <row r="12" spans="1:11">
      <c r="A12" s="4" t="s">
        <v>60</v>
      </c>
      <c r="B12" s="5">
        <v>45668</v>
      </c>
      <c r="C12" s="4" t="s">
        <v>416</v>
      </c>
      <c r="D12" s="4" t="s">
        <v>410</v>
      </c>
      <c r="E12" s="4" t="s">
        <v>400</v>
      </c>
      <c r="F12">
        <v>3</v>
      </c>
      <c r="G12">
        <v>49935</v>
      </c>
      <c r="H12">
        <v>149805</v>
      </c>
      <c r="I12">
        <v>5</v>
      </c>
      <c r="J12" s="4" t="s">
        <v>63</v>
      </c>
      <c r="K12" s="4" t="s">
        <v>33</v>
      </c>
    </row>
    <row r="13" spans="1:11">
      <c r="A13" s="4" t="s">
        <v>64</v>
      </c>
      <c r="B13" s="5">
        <v>45730</v>
      </c>
      <c r="C13" s="4" t="s">
        <v>417</v>
      </c>
      <c r="D13" s="4" t="s">
        <v>410</v>
      </c>
      <c r="E13" s="4" t="s">
        <v>407</v>
      </c>
      <c r="F13">
        <v>5</v>
      </c>
      <c r="G13">
        <v>29955</v>
      </c>
      <c r="H13">
        <v>149775</v>
      </c>
      <c r="I13">
        <v>4</v>
      </c>
      <c r="J13" s="4" t="s">
        <v>68</v>
      </c>
      <c r="K13" s="4" t="s">
        <v>33</v>
      </c>
    </row>
    <row r="14" spans="1:11">
      <c r="A14" s="4" t="s">
        <v>69</v>
      </c>
      <c r="B14" s="5">
        <v>45699</v>
      </c>
      <c r="C14" s="4" t="s">
        <v>418</v>
      </c>
      <c r="D14" s="4" t="s">
        <v>405</v>
      </c>
      <c r="E14" s="4" t="s">
        <v>407</v>
      </c>
      <c r="F14">
        <v>2</v>
      </c>
      <c r="G14">
        <v>34794</v>
      </c>
      <c r="H14">
        <v>69588</v>
      </c>
      <c r="I14">
        <v>5</v>
      </c>
      <c r="J14" s="4" t="s">
        <v>73</v>
      </c>
      <c r="K14" s="4" t="s">
        <v>17</v>
      </c>
    </row>
    <row r="15" spans="1:11">
      <c r="A15" s="4" t="s">
        <v>74</v>
      </c>
      <c r="B15" s="5">
        <v>45510</v>
      </c>
      <c r="C15" s="4" t="s">
        <v>419</v>
      </c>
      <c r="D15" s="4" t="s">
        <v>399</v>
      </c>
      <c r="E15" s="4" t="s">
        <v>400</v>
      </c>
      <c r="F15">
        <v>4</v>
      </c>
      <c r="G15">
        <v>48221</v>
      </c>
      <c r="H15">
        <v>192884</v>
      </c>
      <c r="I15">
        <v>2</v>
      </c>
      <c r="J15" s="4" t="s">
        <v>77</v>
      </c>
      <c r="K15" s="4" t="s">
        <v>27</v>
      </c>
    </row>
    <row r="16" spans="1:11">
      <c r="A16" s="4" t="s">
        <v>78</v>
      </c>
      <c r="B16" s="5">
        <v>45630</v>
      </c>
      <c r="C16" s="4" t="s">
        <v>420</v>
      </c>
      <c r="D16" s="4" t="s">
        <v>403</v>
      </c>
      <c r="E16" s="4" t="s">
        <v>400</v>
      </c>
      <c r="F16">
        <v>5</v>
      </c>
      <c r="G16">
        <v>21463</v>
      </c>
      <c r="H16">
        <v>107315</v>
      </c>
      <c r="I16">
        <v>1</v>
      </c>
      <c r="J16" s="4" t="s">
        <v>81</v>
      </c>
      <c r="K16" s="4" t="s">
        <v>33</v>
      </c>
    </row>
    <row r="17" spans="1:11">
      <c r="A17" s="4" t="s">
        <v>376</v>
      </c>
      <c r="B17" s="5">
        <v>45635</v>
      </c>
      <c r="C17" s="4" t="s">
        <v>421</v>
      </c>
      <c r="D17" s="4" t="s">
        <v>403</v>
      </c>
      <c r="E17" s="4" t="s">
        <v>400</v>
      </c>
      <c r="F17">
        <v>5</v>
      </c>
      <c r="G17">
        <v>39728</v>
      </c>
      <c r="H17">
        <v>198640</v>
      </c>
      <c r="I17">
        <v>5</v>
      </c>
      <c r="J17" s="4" t="s">
        <v>84</v>
      </c>
      <c r="K17" s="4" t="s">
        <v>411</v>
      </c>
    </row>
    <row r="18" spans="1:11">
      <c r="A18" s="4" t="s">
        <v>85</v>
      </c>
      <c r="B18" s="5">
        <v>45470</v>
      </c>
      <c r="C18" s="4" t="s">
        <v>422</v>
      </c>
      <c r="D18" s="4" t="s">
        <v>399</v>
      </c>
      <c r="E18" s="4" t="s">
        <v>400</v>
      </c>
      <c r="F18">
        <v>5</v>
      </c>
      <c r="G18">
        <v>42251</v>
      </c>
      <c r="H18">
        <v>211255</v>
      </c>
      <c r="I18">
        <v>1</v>
      </c>
      <c r="J18" s="4" t="s">
        <v>88</v>
      </c>
      <c r="K18" s="4" t="s">
        <v>17</v>
      </c>
    </row>
    <row r="19" spans="1:11">
      <c r="A19" s="4" t="s">
        <v>89</v>
      </c>
      <c r="B19" s="5">
        <v>45504</v>
      </c>
      <c r="C19" s="4" t="s">
        <v>423</v>
      </c>
      <c r="D19" s="4" t="s">
        <v>405</v>
      </c>
      <c r="E19" s="4" t="s">
        <v>407</v>
      </c>
      <c r="F19">
        <v>2</v>
      </c>
      <c r="G19">
        <v>28322</v>
      </c>
      <c r="H19">
        <v>56644</v>
      </c>
      <c r="I19">
        <v>5</v>
      </c>
      <c r="J19" s="4" t="s">
        <v>92</v>
      </c>
      <c r="K19" s="4" t="s">
        <v>17</v>
      </c>
    </row>
    <row r="20" spans="1:11">
      <c r="A20" s="4" t="s">
        <v>93</v>
      </c>
      <c r="B20" s="5">
        <v>45674</v>
      </c>
      <c r="C20" s="4" t="s">
        <v>424</v>
      </c>
      <c r="D20" s="4" t="s">
        <v>414</v>
      </c>
      <c r="E20" s="4" t="s">
        <v>407</v>
      </c>
      <c r="F20">
        <v>4</v>
      </c>
      <c r="G20">
        <v>37610</v>
      </c>
      <c r="H20">
        <v>150440</v>
      </c>
      <c r="I20">
        <v>2</v>
      </c>
      <c r="J20" s="4" t="s">
        <v>97</v>
      </c>
      <c r="K20" s="4" t="s">
        <v>27</v>
      </c>
    </row>
    <row r="21" spans="1:11">
      <c r="A21" s="4" t="s">
        <v>98</v>
      </c>
      <c r="B21" s="5">
        <v>45394</v>
      </c>
      <c r="C21" s="4" t="s">
        <v>425</v>
      </c>
      <c r="D21" s="4" t="s">
        <v>410</v>
      </c>
      <c r="E21" s="4" t="s">
        <v>400</v>
      </c>
      <c r="F21">
        <v>3</v>
      </c>
      <c r="G21">
        <v>25494</v>
      </c>
      <c r="H21">
        <v>76482</v>
      </c>
      <c r="I21">
        <v>3</v>
      </c>
      <c r="J21" s="4" t="s">
        <v>101</v>
      </c>
      <c r="K21" s="4" t="s">
        <v>17</v>
      </c>
    </row>
    <row r="22" spans="1:11">
      <c r="A22" s="4" t="s">
        <v>102</v>
      </c>
      <c r="B22" s="5">
        <v>45506</v>
      </c>
      <c r="C22" s="4" t="s">
        <v>426</v>
      </c>
      <c r="D22" s="4" t="s">
        <v>399</v>
      </c>
      <c r="E22" s="4" t="s">
        <v>400</v>
      </c>
      <c r="F22">
        <v>3</v>
      </c>
      <c r="G22">
        <v>30723</v>
      </c>
      <c r="H22">
        <v>92169</v>
      </c>
      <c r="I22">
        <v>4</v>
      </c>
      <c r="J22" s="4" t="s">
        <v>105</v>
      </c>
      <c r="K22" s="4" t="s">
        <v>17</v>
      </c>
    </row>
    <row r="23" spans="1:11">
      <c r="A23" s="4" t="s">
        <v>106</v>
      </c>
      <c r="B23" s="5">
        <v>45601</v>
      </c>
      <c r="C23" s="4" t="s">
        <v>427</v>
      </c>
      <c r="D23" s="4" t="s">
        <v>403</v>
      </c>
      <c r="E23" s="4" t="s">
        <v>407</v>
      </c>
      <c r="F23">
        <v>4</v>
      </c>
      <c r="G23">
        <v>48105</v>
      </c>
      <c r="H23">
        <v>192420</v>
      </c>
      <c r="I23">
        <v>1</v>
      </c>
      <c r="J23" s="4" t="s">
        <v>109</v>
      </c>
      <c r="K23" s="4" t="s">
        <v>27</v>
      </c>
    </row>
    <row r="24" spans="1:11">
      <c r="A24" s="4" t="s">
        <v>377</v>
      </c>
      <c r="B24" s="5">
        <v>45516</v>
      </c>
      <c r="C24" s="4" t="s">
        <v>428</v>
      </c>
      <c r="D24" s="4" t="s">
        <v>403</v>
      </c>
      <c r="E24" s="4" t="s">
        <v>400</v>
      </c>
      <c r="F24">
        <v>5</v>
      </c>
      <c r="G24">
        <v>40796</v>
      </c>
      <c r="H24">
        <v>203980</v>
      </c>
      <c r="I24">
        <v>4</v>
      </c>
      <c r="J24" s="4" t="s">
        <v>111</v>
      </c>
      <c r="K24" s="4" t="s">
        <v>411</v>
      </c>
    </row>
    <row r="25" spans="1:11">
      <c r="A25" s="4" t="s">
        <v>112</v>
      </c>
      <c r="B25" s="5">
        <v>45528</v>
      </c>
      <c r="C25" s="4" t="s">
        <v>429</v>
      </c>
      <c r="D25" s="4" t="s">
        <v>403</v>
      </c>
      <c r="E25" s="4" t="s">
        <v>407</v>
      </c>
      <c r="F25">
        <v>5</v>
      </c>
      <c r="G25">
        <v>21482</v>
      </c>
      <c r="H25">
        <v>107410</v>
      </c>
      <c r="I25">
        <v>3</v>
      </c>
      <c r="J25" s="4" t="s">
        <v>114</v>
      </c>
      <c r="K25" s="4" t="s">
        <v>33</v>
      </c>
    </row>
    <row r="26" spans="1:11">
      <c r="A26" s="4" t="s">
        <v>115</v>
      </c>
      <c r="B26" s="5">
        <v>45573</v>
      </c>
      <c r="C26" s="4" t="s">
        <v>430</v>
      </c>
      <c r="D26" s="4" t="s">
        <v>410</v>
      </c>
      <c r="E26" s="4" t="s">
        <v>407</v>
      </c>
      <c r="F26">
        <v>2</v>
      </c>
      <c r="G26">
        <v>6288</v>
      </c>
      <c r="H26">
        <v>12576</v>
      </c>
      <c r="I26">
        <v>5</v>
      </c>
      <c r="J26" s="4" t="s">
        <v>118</v>
      </c>
      <c r="K26" s="4" t="s">
        <v>27</v>
      </c>
    </row>
    <row r="27" spans="1:11">
      <c r="A27" s="4" t="s">
        <v>378</v>
      </c>
      <c r="B27" s="5">
        <v>45716</v>
      </c>
      <c r="C27" s="4" t="s">
        <v>431</v>
      </c>
      <c r="D27" s="4" t="s">
        <v>403</v>
      </c>
      <c r="E27" s="4" t="s">
        <v>400</v>
      </c>
      <c r="F27">
        <v>5</v>
      </c>
      <c r="G27">
        <v>41016</v>
      </c>
      <c r="H27">
        <v>205080</v>
      </c>
      <c r="I27">
        <v>2</v>
      </c>
      <c r="J27" s="4" t="s">
        <v>121</v>
      </c>
      <c r="K27" s="4" t="s">
        <v>411</v>
      </c>
    </row>
    <row r="28" spans="1:11">
      <c r="A28" s="4" t="s">
        <v>122</v>
      </c>
      <c r="B28" s="5">
        <v>45379</v>
      </c>
      <c r="C28" s="4" t="s">
        <v>432</v>
      </c>
      <c r="D28" s="4" t="s">
        <v>414</v>
      </c>
      <c r="E28" s="4" t="s">
        <v>400</v>
      </c>
      <c r="F28">
        <v>5</v>
      </c>
      <c r="G28">
        <v>30289</v>
      </c>
      <c r="H28">
        <v>151445</v>
      </c>
      <c r="I28">
        <v>3</v>
      </c>
      <c r="J28" s="4" t="s">
        <v>125</v>
      </c>
      <c r="K28" s="4" t="s">
        <v>27</v>
      </c>
    </row>
    <row r="29" spans="1:11">
      <c r="A29" s="4" t="s">
        <v>126</v>
      </c>
      <c r="B29" s="5">
        <v>45382</v>
      </c>
      <c r="C29" s="4" t="s">
        <v>433</v>
      </c>
      <c r="D29" s="4" t="s">
        <v>405</v>
      </c>
      <c r="E29" s="4" t="s">
        <v>400</v>
      </c>
      <c r="F29">
        <v>1</v>
      </c>
      <c r="G29">
        <v>27553</v>
      </c>
      <c r="H29">
        <v>27553</v>
      </c>
      <c r="I29">
        <v>5</v>
      </c>
      <c r="J29" s="4" t="s">
        <v>129</v>
      </c>
      <c r="K29" s="4" t="s">
        <v>33</v>
      </c>
    </row>
    <row r="30" spans="1:11">
      <c r="A30" s="4" t="s">
        <v>379</v>
      </c>
      <c r="B30" s="5">
        <v>45424</v>
      </c>
      <c r="C30" s="4" t="s">
        <v>434</v>
      </c>
      <c r="D30" s="4" t="s">
        <v>399</v>
      </c>
      <c r="E30" s="4" t="s">
        <v>407</v>
      </c>
      <c r="F30">
        <v>4</v>
      </c>
      <c r="G30">
        <v>35346</v>
      </c>
      <c r="H30">
        <v>141384</v>
      </c>
      <c r="I30">
        <v>4</v>
      </c>
      <c r="J30" s="4" t="s">
        <v>132</v>
      </c>
      <c r="K30" s="4" t="s">
        <v>411</v>
      </c>
    </row>
    <row r="31" spans="1:11">
      <c r="A31" s="4" t="s">
        <v>133</v>
      </c>
      <c r="B31" s="5">
        <v>45569</v>
      </c>
      <c r="C31" s="4" t="s">
        <v>435</v>
      </c>
      <c r="D31" s="4" t="s">
        <v>403</v>
      </c>
      <c r="E31" s="4" t="s">
        <v>400</v>
      </c>
      <c r="F31">
        <v>5</v>
      </c>
      <c r="G31">
        <v>7709</v>
      </c>
      <c r="H31">
        <v>38545</v>
      </c>
      <c r="I31">
        <v>5</v>
      </c>
      <c r="J31" s="4" t="s">
        <v>136</v>
      </c>
      <c r="K31" s="4" t="s">
        <v>33</v>
      </c>
    </row>
    <row r="32" spans="1:11">
      <c r="A32" s="4" t="s">
        <v>137</v>
      </c>
      <c r="B32" s="5">
        <v>45523</v>
      </c>
      <c r="C32" s="4" t="s">
        <v>436</v>
      </c>
      <c r="D32" s="4" t="s">
        <v>399</v>
      </c>
      <c r="E32" s="4" t="s">
        <v>400</v>
      </c>
      <c r="F32">
        <v>2</v>
      </c>
      <c r="G32">
        <v>20832</v>
      </c>
      <c r="H32">
        <v>41664</v>
      </c>
      <c r="I32">
        <v>4</v>
      </c>
      <c r="J32" s="4" t="s">
        <v>140</v>
      </c>
      <c r="K32" s="4" t="s">
        <v>33</v>
      </c>
    </row>
    <row r="33" spans="1:11">
      <c r="A33" s="4" t="s">
        <v>141</v>
      </c>
      <c r="B33" s="5">
        <v>45495</v>
      </c>
      <c r="C33" s="4" t="s">
        <v>437</v>
      </c>
      <c r="D33" s="4" t="s">
        <v>399</v>
      </c>
      <c r="E33" s="4" t="s">
        <v>407</v>
      </c>
      <c r="F33">
        <v>1</v>
      </c>
      <c r="G33">
        <v>28873</v>
      </c>
      <c r="H33">
        <v>28873</v>
      </c>
      <c r="I33">
        <v>4</v>
      </c>
      <c r="J33" s="4" t="s">
        <v>144</v>
      </c>
      <c r="K33" s="4" t="s">
        <v>17</v>
      </c>
    </row>
    <row r="34" spans="1:11">
      <c r="A34" s="4" t="s">
        <v>145</v>
      </c>
      <c r="B34" s="5">
        <v>45394</v>
      </c>
      <c r="C34" s="4" t="s">
        <v>438</v>
      </c>
      <c r="D34" s="4" t="s">
        <v>410</v>
      </c>
      <c r="E34" s="4" t="s">
        <v>407</v>
      </c>
      <c r="F34">
        <v>1</v>
      </c>
      <c r="G34">
        <v>27664</v>
      </c>
      <c r="H34">
        <v>27664</v>
      </c>
      <c r="I34">
        <v>4</v>
      </c>
      <c r="J34" s="4" t="s">
        <v>148</v>
      </c>
      <c r="K34" s="4" t="s">
        <v>27</v>
      </c>
    </row>
    <row r="35" spans="1:11">
      <c r="A35" s="4" t="s">
        <v>149</v>
      </c>
      <c r="B35" s="5">
        <v>45538</v>
      </c>
      <c r="C35" s="4" t="s">
        <v>439</v>
      </c>
      <c r="D35" s="4" t="s">
        <v>399</v>
      </c>
      <c r="E35" s="4" t="s">
        <v>407</v>
      </c>
      <c r="F35">
        <v>5</v>
      </c>
      <c r="G35">
        <v>31211</v>
      </c>
      <c r="H35">
        <v>156055</v>
      </c>
      <c r="I35">
        <v>5</v>
      </c>
      <c r="J35" s="4" t="s">
        <v>152</v>
      </c>
      <c r="K35" s="4" t="s">
        <v>33</v>
      </c>
    </row>
    <row r="36" spans="1:11">
      <c r="A36" s="4" t="s">
        <v>153</v>
      </c>
      <c r="B36" s="5">
        <v>45599</v>
      </c>
      <c r="C36" s="4" t="s">
        <v>440</v>
      </c>
      <c r="D36" s="4" t="s">
        <v>405</v>
      </c>
      <c r="E36" s="4" t="s">
        <v>407</v>
      </c>
      <c r="F36">
        <v>1</v>
      </c>
      <c r="G36">
        <v>30680</v>
      </c>
      <c r="H36">
        <v>30680</v>
      </c>
      <c r="I36">
        <v>5</v>
      </c>
      <c r="J36" s="4" t="s">
        <v>156</v>
      </c>
      <c r="K36" s="4" t="s">
        <v>27</v>
      </c>
    </row>
    <row r="37" spans="1:11">
      <c r="A37" s="4" t="s">
        <v>157</v>
      </c>
      <c r="B37" s="5">
        <v>45398</v>
      </c>
      <c r="C37" s="4" t="s">
        <v>441</v>
      </c>
      <c r="D37" s="4" t="s">
        <v>405</v>
      </c>
      <c r="E37" s="4" t="s">
        <v>407</v>
      </c>
      <c r="F37">
        <v>1</v>
      </c>
      <c r="G37">
        <v>13489</v>
      </c>
      <c r="H37">
        <v>13489</v>
      </c>
      <c r="I37">
        <v>3</v>
      </c>
      <c r="J37" s="4" t="s">
        <v>160</v>
      </c>
      <c r="K37" s="4" t="s">
        <v>27</v>
      </c>
    </row>
    <row r="38" spans="1:11">
      <c r="A38" s="4" t="s">
        <v>380</v>
      </c>
      <c r="B38" s="5">
        <v>45474</v>
      </c>
      <c r="C38" s="4" t="s">
        <v>442</v>
      </c>
      <c r="D38" s="4" t="s">
        <v>405</v>
      </c>
      <c r="E38" s="4" t="s">
        <v>400</v>
      </c>
      <c r="F38">
        <v>3</v>
      </c>
      <c r="G38">
        <v>42582</v>
      </c>
      <c r="H38">
        <v>127746</v>
      </c>
      <c r="I38">
        <v>5</v>
      </c>
      <c r="J38" s="4" t="s">
        <v>163</v>
      </c>
      <c r="K38" s="4" t="s">
        <v>411</v>
      </c>
    </row>
    <row r="39" spans="1:11">
      <c r="A39" s="4" t="s">
        <v>164</v>
      </c>
      <c r="B39" s="5">
        <v>45423</v>
      </c>
      <c r="C39" s="4" t="s">
        <v>443</v>
      </c>
      <c r="D39" s="4" t="s">
        <v>414</v>
      </c>
      <c r="E39" s="4" t="s">
        <v>400</v>
      </c>
      <c r="F39">
        <v>5</v>
      </c>
      <c r="G39">
        <v>47488</v>
      </c>
      <c r="H39">
        <v>237440</v>
      </c>
      <c r="I39">
        <v>5</v>
      </c>
      <c r="J39" s="4" t="s">
        <v>167</v>
      </c>
      <c r="K39" s="4" t="s">
        <v>17</v>
      </c>
    </row>
    <row r="40" spans="1:11">
      <c r="A40" s="4" t="s">
        <v>168</v>
      </c>
      <c r="B40" s="5">
        <v>45374</v>
      </c>
      <c r="C40" s="4" t="s">
        <v>444</v>
      </c>
      <c r="D40" s="4" t="s">
        <v>399</v>
      </c>
      <c r="E40" s="4" t="s">
        <v>400</v>
      </c>
      <c r="F40">
        <v>5</v>
      </c>
      <c r="G40">
        <v>28497</v>
      </c>
      <c r="H40">
        <v>142485</v>
      </c>
      <c r="I40">
        <v>5</v>
      </c>
      <c r="J40" s="4" t="s">
        <v>171</v>
      </c>
      <c r="K40" s="4" t="s">
        <v>17</v>
      </c>
    </row>
    <row r="41" spans="1:11">
      <c r="A41" s="4" t="s">
        <v>381</v>
      </c>
      <c r="B41" s="5">
        <v>45531</v>
      </c>
      <c r="C41" s="4" t="s">
        <v>445</v>
      </c>
      <c r="D41" s="4" t="s">
        <v>399</v>
      </c>
      <c r="E41" s="4" t="s">
        <v>400</v>
      </c>
      <c r="F41">
        <v>4</v>
      </c>
      <c r="G41">
        <v>28511</v>
      </c>
      <c r="H41">
        <v>114044</v>
      </c>
      <c r="I41">
        <v>4</v>
      </c>
      <c r="J41" s="4" t="s">
        <v>174</v>
      </c>
      <c r="K41" s="4" t="s">
        <v>411</v>
      </c>
    </row>
    <row r="42" spans="1:11">
      <c r="A42" s="4" t="s">
        <v>175</v>
      </c>
      <c r="B42" s="5">
        <v>45704</v>
      </c>
      <c r="C42" s="4" t="s">
        <v>446</v>
      </c>
      <c r="D42" s="4" t="s">
        <v>405</v>
      </c>
      <c r="E42" s="4" t="s">
        <v>407</v>
      </c>
      <c r="F42">
        <v>3</v>
      </c>
      <c r="G42">
        <v>17037</v>
      </c>
      <c r="H42">
        <v>51111</v>
      </c>
      <c r="I42">
        <v>5</v>
      </c>
      <c r="J42" s="4" t="s">
        <v>178</v>
      </c>
      <c r="K42" s="4" t="s">
        <v>17</v>
      </c>
    </row>
    <row r="43" spans="1:11">
      <c r="A43" s="4" t="s">
        <v>179</v>
      </c>
      <c r="B43" s="5">
        <v>45620</v>
      </c>
      <c r="C43" s="4" t="s">
        <v>447</v>
      </c>
      <c r="D43" s="4" t="s">
        <v>410</v>
      </c>
      <c r="E43" s="4" t="s">
        <v>407</v>
      </c>
      <c r="F43">
        <v>1</v>
      </c>
      <c r="G43">
        <v>22041</v>
      </c>
      <c r="H43">
        <v>22041</v>
      </c>
      <c r="I43">
        <v>5</v>
      </c>
      <c r="J43" s="4" t="s">
        <v>182</v>
      </c>
      <c r="K43" s="4" t="s">
        <v>33</v>
      </c>
    </row>
    <row r="44" spans="1:11">
      <c r="A44" s="4" t="s">
        <v>183</v>
      </c>
      <c r="B44" s="5">
        <v>45603</v>
      </c>
      <c r="C44" s="4" t="s">
        <v>448</v>
      </c>
      <c r="D44" s="4" t="s">
        <v>410</v>
      </c>
      <c r="E44" s="4" t="s">
        <v>407</v>
      </c>
      <c r="F44">
        <v>5</v>
      </c>
      <c r="G44">
        <v>44743</v>
      </c>
      <c r="H44">
        <v>223715</v>
      </c>
      <c r="I44">
        <v>2</v>
      </c>
      <c r="J44" s="4" t="s">
        <v>185</v>
      </c>
      <c r="K44" s="4" t="s">
        <v>17</v>
      </c>
    </row>
    <row r="45" spans="1:11">
      <c r="A45" s="4" t="s">
        <v>186</v>
      </c>
      <c r="B45" s="5">
        <v>45396</v>
      </c>
      <c r="C45" s="4" t="s">
        <v>449</v>
      </c>
      <c r="D45" s="4" t="s">
        <v>403</v>
      </c>
      <c r="E45" s="4" t="s">
        <v>400</v>
      </c>
      <c r="F45">
        <v>4</v>
      </c>
      <c r="G45">
        <v>42657</v>
      </c>
      <c r="H45">
        <v>170628</v>
      </c>
      <c r="I45">
        <v>5</v>
      </c>
      <c r="J45" s="4" t="s">
        <v>188</v>
      </c>
      <c r="K45" s="4" t="s">
        <v>27</v>
      </c>
    </row>
    <row r="46" spans="1:11">
      <c r="A46" s="4" t="s">
        <v>189</v>
      </c>
      <c r="B46" s="5">
        <v>45453</v>
      </c>
      <c r="C46" s="4" t="s">
        <v>450</v>
      </c>
      <c r="D46" s="4" t="s">
        <v>399</v>
      </c>
      <c r="E46" s="4" t="s">
        <v>407</v>
      </c>
      <c r="F46">
        <v>2</v>
      </c>
      <c r="G46">
        <v>19111</v>
      </c>
      <c r="H46">
        <v>38222</v>
      </c>
      <c r="I46">
        <v>2</v>
      </c>
      <c r="J46" s="4" t="s">
        <v>191</v>
      </c>
      <c r="K46" s="4" t="s">
        <v>27</v>
      </c>
    </row>
    <row r="47" spans="1:11">
      <c r="A47" s="4" t="s">
        <v>382</v>
      </c>
      <c r="B47" s="5">
        <v>45470</v>
      </c>
      <c r="C47" s="4" t="s">
        <v>451</v>
      </c>
      <c r="D47" s="4" t="s">
        <v>399</v>
      </c>
      <c r="E47" s="4" t="s">
        <v>407</v>
      </c>
      <c r="F47">
        <v>4</v>
      </c>
      <c r="G47">
        <v>22285</v>
      </c>
      <c r="H47">
        <v>89140</v>
      </c>
      <c r="I47">
        <v>4</v>
      </c>
      <c r="J47" s="4" t="s">
        <v>194</v>
      </c>
      <c r="K47" s="4" t="s">
        <v>411</v>
      </c>
    </row>
    <row r="48" spans="1:11">
      <c r="A48" s="4" t="s">
        <v>385</v>
      </c>
      <c r="B48" s="5">
        <v>45690</v>
      </c>
      <c r="C48" s="4" t="s">
        <v>452</v>
      </c>
      <c r="D48" s="4" t="s">
        <v>405</v>
      </c>
      <c r="E48" s="4" t="s">
        <v>407</v>
      </c>
      <c r="F48">
        <v>1</v>
      </c>
      <c r="G48">
        <v>40169</v>
      </c>
      <c r="H48">
        <v>40169</v>
      </c>
      <c r="I48">
        <v>5</v>
      </c>
      <c r="J48" s="4" t="s">
        <v>197</v>
      </c>
      <c r="K48" s="4" t="s">
        <v>411</v>
      </c>
    </row>
    <row r="49" spans="1:11">
      <c r="A49" s="4" t="s">
        <v>198</v>
      </c>
      <c r="B49" s="5">
        <v>45681</v>
      </c>
      <c r="C49" s="4" t="s">
        <v>453</v>
      </c>
      <c r="D49" s="4" t="s">
        <v>399</v>
      </c>
      <c r="E49" s="4" t="s">
        <v>407</v>
      </c>
      <c r="F49">
        <v>2</v>
      </c>
      <c r="G49">
        <v>39615</v>
      </c>
      <c r="H49">
        <v>79230</v>
      </c>
      <c r="I49">
        <v>5</v>
      </c>
      <c r="J49" s="4" t="s">
        <v>201</v>
      </c>
      <c r="K49" s="4" t="s">
        <v>17</v>
      </c>
    </row>
    <row r="50" spans="1:11">
      <c r="A50" s="4" t="s">
        <v>202</v>
      </c>
      <c r="B50" s="5">
        <v>45558</v>
      </c>
      <c r="C50" s="4" t="s">
        <v>454</v>
      </c>
      <c r="D50" s="4" t="s">
        <v>403</v>
      </c>
      <c r="E50" s="4" t="s">
        <v>400</v>
      </c>
      <c r="F50">
        <v>4</v>
      </c>
      <c r="G50">
        <v>25176</v>
      </c>
      <c r="H50">
        <v>100704</v>
      </c>
      <c r="I50">
        <v>3</v>
      </c>
      <c r="J50" s="4" t="s">
        <v>205</v>
      </c>
      <c r="K50" s="4" t="s">
        <v>27</v>
      </c>
    </row>
    <row r="51" spans="1:11">
      <c r="A51" s="4" t="s">
        <v>206</v>
      </c>
      <c r="B51" s="5">
        <v>45656</v>
      </c>
      <c r="C51" s="4" t="s">
        <v>455</v>
      </c>
      <c r="D51" s="4" t="s">
        <v>405</v>
      </c>
      <c r="E51" s="4" t="s">
        <v>400</v>
      </c>
      <c r="F51">
        <v>1</v>
      </c>
      <c r="G51">
        <v>27031</v>
      </c>
      <c r="H51">
        <v>27031</v>
      </c>
      <c r="I51">
        <v>5</v>
      </c>
      <c r="J51" s="4" t="s">
        <v>209</v>
      </c>
      <c r="K51" s="4" t="s">
        <v>27</v>
      </c>
    </row>
    <row r="52" spans="1:11">
      <c r="A52" s="4" t="s">
        <v>210</v>
      </c>
      <c r="B52" s="5">
        <v>45424</v>
      </c>
      <c r="C52" s="4" t="s">
        <v>456</v>
      </c>
      <c r="D52" s="4" t="s">
        <v>410</v>
      </c>
      <c r="E52" s="4" t="s">
        <v>400</v>
      </c>
      <c r="F52">
        <v>5</v>
      </c>
      <c r="G52">
        <v>21029</v>
      </c>
      <c r="H52">
        <v>105145</v>
      </c>
      <c r="I52">
        <v>4</v>
      </c>
      <c r="J52" s="4" t="s">
        <v>213</v>
      </c>
      <c r="K52" s="4" t="s">
        <v>27</v>
      </c>
    </row>
    <row r="53" spans="1:11">
      <c r="A53" s="4" t="s">
        <v>214</v>
      </c>
      <c r="B53" s="5">
        <v>45468</v>
      </c>
      <c r="C53" s="4" t="s">
        <v>457</v>
      </c>
      <c r="D53" s="4" t="s">
        <v>410</v>
      </c>
      <c r="E53" s="4" t="s">
        <v>400</v>
      </c>
      <c r="F53">
        <v>4</v>
      </c>
      <c r="G53">
        <v>27706</v>
      </c>
      <c r="H53">
        <v>110824</v>
      </c>
      <c r="I53">
        <v>5</v>
      </c>
      <c r="J53" s="4" t="s">
        <v>217</v>
      </c>
      <c r="K53" s="4" t="s">
        <v>27</v>
      </c>
    </row>
    <row r="54" spans="1:11">
      <c r="A54" s="4" t="s">
        <v>218</v>
      </c>
      <c r="B54" s="5">
        <v>45394</v>
      </c>
      <c r="C54" s="4" t="s">
        <v>458</v>
      </c>
      <c r="D54" s="4" t="s">
        <v>410</v>
      </c>
      <c r="E54" s="4" t="s">
        <v>400</v>
      </c>
      <c r="F54">
        <v>3</v>
      </c>
      <c r="G54">
        <v>10728</v>
      </c>
      <c r="H54">
        <v>32184</v>
      </c>
      <c r="I54">
        <v>5</v>
      </c>
      <c r="J54" s="4" t="s">
        <v>221</v>
      </c>
      <c r="K54" s="4" t="s">
        <v>17</v>
      </c>
    </row>
    <row r="55" spans="1:11">
      <c r="A55" s="4" t="s">
        <v>222</v>
      </c>
      <c r="B55" s="5">
        <v>45624</v>
      </c>
      <c r="C55" s="4" t="s">
        <v>459</v>
      </c>
      <c r="D55" s="4" t="s">
        <v>414</v>
      </c>
      <c r="E55" s="4" t="s">
        <v>407</v>
      </c>
      <c r="F55">
        <v>3</v>
      </c>
      <c r="G55">
        <v>26980</v>
      </c>
      <c r="H55">
        <v>80940</v>
      </c>
      <c r="I55">
        <v>5</v>
      </c>
      <c r="J55" s="4" t="s">
        <v>224</v>
      </c>
      <c r="K55" s="4" t="s">
        <v>17</v>
      </c>
    </row>
    <row r="56" spans="1:11">
      <c r="A56" s="4" t="s">
        <v>225</v>
      </c>
      <c r="B56" s="5">
        <v>45524</v>
      </c>
      <c r="C56" s="4" t="s">
        <v>460</v>
      </c>
      <c r="D56" s="4" t="s">
        <v>399</v>
      </c>
      <c r="E56" s="4" t="s">
        <v>400</v>
      </c>
      <c r="F56">
        <v>5</v>
      </c>
      <c r="G56">
        <v>20633</v>
      </c>
      <c r="H56">
        <v>103165</v>
      </c>
      <c r="I56">
        <v>3</v>
      </c>
      <c r="J56" s="4" t="s">
        <v>228</v>
      </c>
      <c r="K56" s="4" t="s">
        <v>27</v>
      </c>
    </row>
    <row r="57" spans="1:11">
      <c r="A57" s="4" t="s">
        <v>383</v>
      </c>
      <c r="B57" s="5">
        <v>45406</v>
      </c>
      <c r="C57" s="4" t="s">
        <v>461</v>
      </c>
      <c r="D57" s="4" t="s">
        <v>405</v>
      </c>
      <c r="E57" s="4" t="s">
        <v>407</v>
      </c>
      <c r="F57">
        <v>1</v>
      </c>
      <c r="G57">
        <v>42023</v>
      </c>
      <c r="H57">
        <v>42023</v>
      </c>
      <c r="I57">
        <v>5</v>
      </c>
      <c r="J57" s="4" t="s">
        <v>231</v>
      </c>
      <c r="K57" s="4" t="s">
        <v>411</v>
      </c>
    </row>
    <row r="58" spans="1:11">
      <c r="A58" s="4" t="s">
        <v>232</v>
      </c>
      <c r="B58" s="5">
        <v>45586</v>
      </c>
      <c r="C58" s="4" t="s">
        <v>462</v>
      </c>
      <c r="D58" s="4" t="s">
        <v>403</v>
      </c>
      <c r="E58" s="4" t="s">
        <v>407</v>
      </c>
      <c r="F58">
        <v>3</v>
      </c>
      <c r="G58">
        <v>27721</v>
      </c>
      <c r="H58">
        <v>83163</v>
      </c>
      <c r="I58">
        <v>2</v>
      </c>
      <c r="J58" s="4" t="s">
        <v>235</v>
      </c>
      <c r="K58" s="4" t="s">
        <v>33</v>
      </c>
    </row>
    <row r="59" spans="1:11">
      <c r="A59" s="4" t="s">
        <v>384</v>
      </c>
      <c r="B59" s="5">
        <v>45704</v>
      </c>
      <c r="C59" s="4" t="s">
        <v>463</v>
      </c>
      <c r="D59" s="4" t="s">
        <v>410</v>
      </c>
      <c r="E59" s="4" t="s">
        <v>400</v>
      </c>
      <c r="F59">
        <v>3</v>
      </c>
      <c r="G59">
        <v>24060</v>
      </c>
      <c r="H59">
        <v>72180</v>
      </c>
      <c r="I59">
        <v>5</v>
      </c>
      <c r="J59" s="4" t="s">
        <v>237</v>
      </c>
      <c r="K59" s="4" t="s">
        <v>411</v>
      </c>
    </row>
    <row r="60" spans="1:11">
      <c r="A60" s="4" t="s">
        <v>238</v>
      </c>
      <c r="B60" s="5">
        <v>45602</v>
      </c>
      <c r="C60" s="4" t="s">
        <v>464</v>
      </c>
      <c r="D60" s="4" t="s">
        <v>405</v>
      </c>
      <c r="E60" s="4" t="s">
        <v>400</v>
      </c>
      <c r="F60">
        <v>3</v>
      </c>
      <c r="G60">
        <v>32971</v>
      </c>
      <c r="H60">
        <v>98913</v>
      </c>
      <c r="I60">
        <v>2</v>
      </c>
      <c r="J60" s="4" t="s">
        <v>241</v>
      </c>
      <c r="K60" s="4" t="s">
        <v>27</v>
      </c>
    </row>
    <row r="61" spans="1:11">
      <c r="A61" s="4" t="s">
        <v>394</v>
      </c>
      <c r="B61" s="5">
        <v>45702</v>
      </c>
      <c r="C61" s="4" t="s">
        <v>465</v>
      </c>
      <c r="D61" s="4" t="s">
        <v>410</v>
      </c>
      <c r="E61" s="4" t="s">
        <v>407</v>
      </c>
      <c r="F61">
        <v>2</v>
      </c>
      <c r="G61">
        <v>6227</v>
      </c>
      <c r="H61">
        <v>12454</v>
      </c>
      <c r="I61">
        <v>5</v>
      </c>
      <c r="J61" s="4" t="s">
        <v>243</v>
      </c>
      <c r="K61" s="4" t="s">
        <v>411</v>
      </c>
    </row>
    <row r="62" spans="1:11">
      <c r="A62" s="4" t="s">
        <v>244</v>
      </c>
      <c r="B62" s="5">
        <v>45418</v>
      </c>
      <c r="C62" s="4" t="s">
        <v>466</v>
      </c>
      <c r="D62" s="4" t="s">
        <v>414</v>
      </c>
      <c r="E62" s="4" t="s">
        <v>400</v>
      </c>
      <c r="F62">
        <v>3</v>
      </c>
      <c r="G62">
        <v>19681</v>
      </c>
      <c r="H62">
        <v>59043</v>
      </c>
      <c r="I62">
        <v>2</v>
      </c>
      <c r="J62" s="4" t="s">
        <v>247</v>
      </c>
      <c r="K62" s="4" t="s">
        <v>27</v>
      </c>
    </row>
    <row r="63" spans="1:11">
      <c r="A63" s="4" t="s">
        <v>248</v>
      </c>
      <c r="B63" s="5">
        <v>45552</v>
      </c>
      <c r="C63" s="4" t="s">
        <v>467</v>
      </c>
      <c r="D63" s="4" t="s">
        <v>403</v>
      </c>
      <c r="E63" s="4" t="s">
        <v>407</v>
      </c>
      <c r="F63">
        <v>1</v>
      </c>
      <c r="G63">
        <v>22055</v>
      </c>
      <c r="H63">
        <v>22055</v>
      </c>
      <c r="I63">
        <v>5</v>
      </c>
      <c r="J63" s="4" t="s">
        <v>251</v>
      </c>
      <c r="K63" s="4" t="s">
        <v>33</v>
      </c>
    </row>
    <row r="64" spans="1:11">
      <c r="A64" s="4" t="s">
        <v>393</v>
      </c>
      <c r="B64" s="5">
        <v>45656</v>
      </c>
      <c r="C64" s="4" t="s">
        <v>468</v>
      </c>
      <c r="D64" s="4" t="s">
        <v>403</v>
      </c>
      <c r="E64" s="4" t="s">
        <v>400</v>
      </c>
      <c r="F64">
        <v>3</v>
      </c>
      <c r="G64">
        <v>48634</v>
      </c>
      <c r="H64">
        <v>145902</v>
      </c>
      <c r="I64">
        <v>3</v>
      </c>
      <c r="J64" s="4" t="s">
        <v>253</v>
      </c>
      <c r="K64" s="4" t="s">
        <v>411</v>
      </c>
    </row>
    <row r="65" spans="1:11">
      <c r="A65" s="4" t="s">
        <v>392</v>
      </c>
      <c r="B65" s="5">
        <v>45586</v>
      </c>
      <c r="C65" s="4" t="s">
        <v>469</v>
      </c>
      <c r="D65" s="4" t="s">
        <v>399</v>
      </c>
      <c r="E65" s="4" t="s">
        <v>407</v>
      </c>
      <c r="F65">
        <v>2</v>
      </c>
      <c r="G65">
        <v>30958</v>
      </c>
      <c r="H65">
        <v>61916</v>
      </c>
      <c r="I65">
        <v>5</v>
      </c>
      <c r="J65" s="4" t="s">
        <v>256</v>
      </c>
      <c r="K65" s="4" t="s">
        <v>411</v>
      </c>
    </row>
    <row r="66" spans="1:11">
      <c r="A66" s="4" t="s">
        <v>257</v>
      </c>
      <c r="B66" s="5">
        <v>45547</v>
      </c>
      <c r="C66" s="4" t="s">
        <v>470</v>
      </c>
      <c r="D66" s="4" t="s">
        <v>405</v>
      </c>
      <c r="E66" s="4" t="s">
        <v>400</v>
      </c>
      <c r="F66">
        <v>5</v>
      </c>
      <c r="G66">
        <v>25475</v>
      </c>
      <c r="H66">
        <v>127375</v>
      </c>
      <c r="I66">
        <v>4</v>
      </c>
      <c r="J66" s="4" t="s">
        <v>260</v>
      </c>
      <c r="K66" s="4" t="s">
        <v>17</v>
      </c>
    </row>
    <row r="67" spans="1:11">
      <c r="A67" s="4" t="s">
        <v>261</v>
      </c>
      <c r="B67" s="5">
        <v>45370</v>
      </c>
      <c r="C67" s="4" t="s">
        <v>471</v>
      </c>
      <c r="D67" s="4" t="s">
        <v>403</v>
      </c>
      <c r="E67" s="4" t="s">
        <v>400</v>
      </c>
      <c r="F67">
        <v>2</v>
      </c>
      <c r="G67">
        <v>23700</v>
      </c>
      <c r="H67">
        <v>47400</v>
      </c>
      <c r="I67">
        <v>1</v>
      </c>
      <c r="J67" s="4" t="s">
        <v>263</v>
      </c>
      <c r="K67" s="4" t="s">
        <v>33</v>
      </c>
    </row>
    <row r="68" spans="1:11">
      <c r="A68" s="4" t="s">
        <v>264</v>
      </c>
      <c r="B68" s="5">
        <v>45373</v>
      </c>
      <c r="C68" s="4" t="s">
        <v>472</v>
      </c>
      <c r="D68" s="4" t="s">
        <v>405</v>
      </c>
      <c r="E68" s="4" t="s">
        <v>400</v>
      </c>
      <c r="F68">
        <v>3</v>
      </c>
      <c r="G68">
        <v>27893</v>
      </c>
      <c r="H68">
        <v>83679</v>
      </c>
      <c r="I68">
        <v>5</v>
      </c>
      <c r="J68" s="4" t="s">
        <v>266</v>
      </c>
      <c r="K68" s="4" t="s">
        <v>27</v>
      </c>
    </row>
    <row r="69" spans="1:11">
      <c r="A69" s="4" t="s">
        <v>386</v>
      </c>
      <c r="B69" s="5">
        <v>45729</v>
      </c>
      <c r="C69" s="4" t="s">
        <v>473</v>
      </c>
      <c r="D69" s="4" t="s">
        <v>414</v>
      </c>
      <c r="E69" s="4" t="s">
        <v>407</v>
      </c>
      <c r="F69">
        <v>3</v>
      </c>
      <c r="G69">
        <v>42687</v>
      </c>
      <c r="H69">
        <v>128061</v>
      </c>
      <c r="I69">
        <v>4</v>
      </c>
      <c r="J69" s="4" t="s">
        <v>269</v>
      </c>
      <c r="K69" s="4" t="s">
        <v>411</v>
      </c>
    </row>
    <row r="70" spans="1:11">
      <c r="A70" s="4" t="s">
        <v>387</v>
      </c>
      <c r="B70" s="5">
        <v>45372</v>
      </c>
      <c r="C70" s="4" t="s">
        <v>474</v>
      </c>
      <c r="D70" s="4" t="s">
        <v>403</v>
      </c>
      <c r="E70" s="4" t="s">
        <v>407</v>
      </c>
      <c r="F70">
        <v>5</v>
      </c>
      <c r="G70">
        <v>31043</v>
      </c>
      <c r="H70">
        <v>155215</v>
      </c>
      <c r="I70">
        <v>1</v>
      </c>
      <c r="J70" s="4" t="s">
        <v>272</v>
      </c>
      <c r="K70" s="4" t="s">
        <v>411</v>
      </c>
    </row>
    <row r="71" spans="1:11">
      <c r="A71" s="4" t="s">
        <v>273</v>
      </c>
      <c r="B71" s="5">
        <v>45392</v>
      </c>
      <c r="C71" s="4" t="s">
        <v>475</v>
      </c>
      <c r="D71" s="4" t="s">
        <v>405</v>
      </c>
      <c r="E71" s="4" t="s">
        <v>407</v>
      </c>
      <c r="F71">
        <v>5</v>
      </c>
      <c r="G71">
        <v>10701</v>
      </c>
      <c r="H71">
        <v>53505</v>
      </c>
      <c r="I71">
        <v>1</v>
      </c>
      <c r="J71" s="4" t="s">
        <v>275</v>
      </c>
      <c r="K71" s="4" t="s">
        <v>33</v>
      </c>
    </row>
    <row r="72" spans="1:11">
      <c r="A72" s="4" t="s">
        <v>276</v>
      </c>
      <c r="B72" s="5">
        <v>45570</v>
      </c>
      <c r="C72" s="4" t="s">
        <v>476</v>
      </c>
      <c r="D72" s="4" t="s">
        <v>410</v>
      </c>
      <c r="E72" s="4" t="s">
        <v>407</v>
      </c>
      <c r="F72">
        <v>5</v>
      </c>
      <c r="G72">
        <v>23417</v>
      </c>
      <c r="H72">
        <v>117085</v>
      </c>
      <c r="I72">
        <v>4</v>
      </c>
      <c r="J72" s="4" t="s">
        <v>279</v>
      </c>
      <c r="K72" s="4" t="s">
        <v>33</v>
      </c>
    </row>
    <row r="73" spans="1:11">
      <c r="A73" s="4" t="s">
        <v>280</v>
      </c>
      <c r="B73" s="5">
        <v>45431</v>
      </c>
      <c r="C73" s="4" t="s">
        <v>477</v>
      </c>
      <c r="D73" s="4" t="s">
        <v>399</v>
      </c>
      <c r="E73" s="4" t="s">
        <v>407</v>
      </c>
      <c r="F73">
        <v>3</v>
      </c>
      <c r="G73">
        <v>28666</v>
      </c>
      <c r="H73">
        <v>85998</v>
      </c>
      <c r="I73">
        <v>5</v>
      </c>
      <c r="J73" s="4" t="s">
        <v>282</v>
      </c>
      <c r="K73" s="4" t="s">
        <v>33</v>
      </c>
    </row>
    <row r="74" spans="1:11">
      <c r="A74" s="4" t="s">
        <v>283</v>
      </c>
      <c r="B74" s="5">
        <v>45559</v>
      </c>
      <c r="C74" s="4" t="s">
        <v>478</v>
      </c>
      <c r="D74" s="4" t="s">
        <v>403</v>
      </c>
      <c r="E74" s="4" t="s">
        <v>400</v>
      </c>
      <c r="F74">
        <v>4</v>
      </c>
      <c r="G74">
        <v>38939</v>
      </c>
      <c r="H74">
        <v>155756</v>
      </c>
      <c r="I74">
        <v>5</v>
      </c>
      <c r="J74" s="4" t="s">
        <v>286</v>
      </c>
      <c r="K74" s="4" t="s">
        <v>27</v>
      </c>
    </row>
    <row r="75" spans="1:11">
      <c r="A75" s="4" t="s">
        <v>287</v>
      </c>
      <c r="B75" s="5">
        <v>45716</v>
      </c>
      <c r="C75" s="4" t="s">
        <v>479</v>
      </c>
      <c r="D75" s="4" t="s">
        <v>410</v>
      </c>
      <c r="E75" s="4" t="s">
        <v>400</v>
      </c>
      <c r="F75">
        <v>2</v>
      </c>
      <c r="G75">
        <v>6527</v>
      </c>
      <c r="H75">
        <v>13054</v>
      </c>
      <c r="I75">
        <v>5</v>
      </c>
      <c r="J75" s="4" t="s">
        <v>289</v>
      </c>
      <c r="K75" s="4" t="s">
        <v>17</v>
      </c>
    </row>
    <row r="76" spans="1:11">
      <c r="A76" s="4" t="s">
        <v>388</v>
      </c>
      <c r="B76" s="5">
        <v>45529</v>
      </c>
      <c r="C76" s="4" t="s">
        <v>480</v>
      </c>
      <c r="D76" s="4" t="s">
        <v>399</v>
      </c>
      <c r="E76" s="4" t="s">
        <v>407</v>
      </c>
      <c r="F76">
        <v>3</v>
      </c>
      <c r="G76">
        <v>21333</v>
      </c>
      <c r="H76">
        <v>63999</v>
      </c>
      <c r="I76">
        <v>4</v>
      </c>
      <c r="J76" s="4" t="s">
        <v>292</v>
      </c>
      <c r="K76" s="4" t="s">
        <v>411</v>
      </c>
    </row>
    <row r="77" spans="1:11">
      <c r="A77" s="4" t="s">
        <v>293</v>
      </c>
      <c r="B77" s="5">
        <v>45714</v>
      </c>
      <c r="C77" s="4" t="s">
        <v>481</v>
      </c>
      <c r="D77" s="4" t="s">
        <v>399</v>
      </c>
      <c r="E77" s="4" t="s">
        <v>400</v>
      </c>
      <c r="F77">
        <v>2</v>
      </c>
      <c r="G77">
        <v>45231</v>
      </c>
      <c r="H77">
        <v>90462</v>
      </c>
      <c r="I77">
        <v>2</v>
      </c>
      <c r="J77" s="4" t="s">
        <v>296</v>
      </c>
      <c r="K77" s="4" t="s">
        <v>17</v>
      </c>
    </row>
    <row r="78" spans="1:11">
      <c r="A78" s="4" t="s">
        <v>297</v>
      </c>
      <c r="B78" s="5">
        <v>45405</v>
      </c>
      <c r="C78" s="4" t="s">
        <v>482</v>
      </c>
      <c r="D78" s="4" t="s">
        <v>405</v>
      </c>
      <c r="E78" s="4" t="s">
        <v>400</v>
      </c>
      <c r="F78">
        <v>4</v>
      </c>
      <c r="G78">
        <v>20451</v>
      </c>
      <c r="H78">
        <v>81804</v>
      </c>
      <c r="I78">
        <v>3</v>
      </c>
      <c r="J78" s="4" t="s">
        <v>299</v>
      </c>
      <c r="K78" s="4" t="s">
        <v>33</v>
      </c>
    </row>
    <row r="79" spans="1:11">
      <c r="A79" s="4" t="s">
        <v>300</v>
      </c>
      <c r="B79" s="5">
        <v>45420</v>
      </c>
      <c r="C79" s="4" t="s">
        <v>483</v>
      </c>
      <c r="D79" s="4" t="s">
        <v>399</v>
      </c>
      <c r="E79" s="4" t="s">
        <v>400</v>
      </c>
      <c r="F79">
        <v>5</v>
      </c>
      <c r="G79">
        <v>12503</v>
      </c>
      <c r="H79">
        <v>62515</v>
      </c>
      <c r="I79">
        <v>2</v>
      </c>
      <c r="J79" s="4" t="s">
        <v>302</v>
      </c>
      <c r="K79" s="4" t="s">
        <v>17</v>
      </c>
    </row>
    <row r="80" spans="1:11">
      <c r="A80" s="4" t="s">
        <v>303</v>
      </c>
      <c r="B80" s="5">
        <v>45721</v>
      </c>
      <c r="C80" s="4" t="s">
        <v>484</v>
      </c>
      <c r="D80" s="4" t="s">
        <v>414</v>
      </c>
      <c r="E80" s="4" t="s">
        <v>400</v>
      </c>
      <c r="F80">
        <v>2</v>
      </c>
      <c r="G80">
        <v>28922</v>
      </c>
      <c r="H80">
        <v>57844</v>
      </c>
      <c r="I80">
        <v>5</v>
      </c>
      <c r="J80" s="4" t="s">
        <v>306</v>
      </c>
      <c r="K80" s="4" t="s">
        <v>33</v>
      </c>
    </row>
    <row r="81" spans="1:11">
      <c r="A81" s="4" t="s">
        <v>307</v>
      </c>
      <c r="B81" s="5">
        <v>45690</v>
      </c>
      <c r="C81" s="4" t="s">
        <v>485</v>
      </c>
      <c r="D81" s="4" t="s">
        <v>405</v>
      </c>
      <c r="E81" s="4" t="s">
        <v>407</v>
      </c>
      <c r="F81">
        <v>1</v>
      </c>
      <c r="G81">
        <v>11309</v>
      </c>
      <c r="H81">
        <v>11309</v>
      </c>
      <c r="I81">
        <v>5</v>
      </c>
      <c r="J81" s="4" t="s">
        <v>310</v>
      </c>
      <c r="K81" s="4" t="s">
        <v>17</v>
      </c>
    </row>
    <row r="82" spans="1:11">
      <c r="A82" s="4" t="s">
        <v>311</v>
      </c>
      <c r="B82" s="5">
        <v>45712</v>
      </c>
      <c r="C82" s="4" t="s">
        <v>486</v>
      </c>
      <c r="D82" s="4" t="s">
        <v>405</v>
      </c>
      <c r="E82" s="4" t="s">
        <v>400</v>
      </c>
      <c r="F82">
        <v>1</v>
      </c>
      <c r="G82">
        <v>22860</v>
      </c>
      <c r="H82">
        <v>22860</v>
      </c>
      <c r="I82">
        <v>5</v>
      </c>
      <c r="J82" s="4" t="s">
        <v>314</v>
      </c>
      <c r="K82" s="4" t="s">
        <v>27</v>
      </c>
    </row>
    <row r="83" spans="1:11">
      <c r="A83" s="4" t="s">
        <v>315</v>
      </c>
      <c r="B83" s="5">
        <v>45679</v>
      </c>
      <c r="C83" s="4" t="s">
        <v>487</v>
      </c>
      <c r="D83" s="4" t="s">
        <v>405</v>
      </c>
      <c r="E83" s="4" t="s">
        <v>400</v>
      </c>
      <c r="F83">
        <v>2</v>
      </c>
      <c r="G83">
        <v>41202</v>
      </c>
      <c r="H83">
        <v>82404</v>
      </c>
      <c r="I83">
        <v>5</v>
      </c>
      <c r="J83" s="4" t="s">
        <v>317</v>
      </c>
      <c r="K83" s="4" t="s">
        <v>33</v>
      </c>
    </row>
    <row r="84" spans="1:11">
      <c r="A84" s="4" t="s">
        <v>318</v>
      </c>
      <c r="B84" s="5">
        <v>45413</v>
      </c>
      <c r="C84" s="4" t="s">
        <v>488</v>
      </c>
      <c r="D84" s="4" t="s">
        <v>410</v>
      </c>
      <c r="E84" s="4" t="s">
        <v>407</v>
      </c>
      <c r="F84">
        <v>2</v>
      </c>
      <c r="G84">
        <v>32675</v>
      </c>
      <c r="H84">
        <v>65350</v>
      </c>
      <c r="I84">
        <v>2</v>
      </c>
      <c r="J84" s="4" t="s">
        <v>321</v>
      </c>
      <c r="K84" s="4" t="s">
        <v>27</v>
      </c>
    </row>
    <row r="85" spans="1:11">
      <c r="A85" s="4" t="s">
        <v>322</v>
      </c>
      <c r="B85" s="5">
        <v>45479</v>
      </c>
      <c r="C85" s="4" t="s">
        <v>489</v>
      </c>
      <c r="D85" s="4" t="s">
        <v>414</v>
      </c>
      <c r="E85" s="4" t="s">
        <v>400</v>
      </c>
      <c r="F85">
        <v>5</v>
      </c>
      <c r="G85">
        <v>35934</v>
      </c>
      <c r="H85">
        <v>179670</v>
      </c>
      <c r="I85">
        <v>5</v>
      </c>
      <c r="J85" s="4" t="s">
        <v>324</v>
      </c>
      <c r="K85" s="4" t="s">
        <v>33</v>
      </c>
    </row>
    <row r="86" spans="1:11">
      <c r="A86" s="4" t="s">
        <v>325</v>
      </c>
      <c r="B86" s="5">
        <v>45673</v>
      </c>
      <c r="C86" s="4" t="s">
        <v>490</v>
      </c>
      <c r="D86" s="4" t="s">
        <v>403</v>
      </c>
      <c r="E86" s="4" t="s">
        <v>407</v>
      </c>
      <c r="F86">
        <v>1</v>
      </c>
      <c r="G86">
        <v>40024</v>
      </c>
      <c r="H86">
        <v>40024</v>
      </c>
      <c r="I86">
        <v>5</v>
      </c>
      <c r="J86" s="4" t="s">
        <v>328</v>
      </c>
      <c r="K86" s="4" t="s">
        <v>27</v>
      </c>
    </row>
    <row r="87" spans="1:11">
      <c r="A87" s="4" t="s">
        <v>329</v>
      </c>
      <c r="B87" s="5">
        <v>45378</v>
      </c>
      <c r="C87" s="4" t="s">
        <v>491</v>
      </c>
      <c r="D87" s="4" t="s">
        <v>403</v>
      </c>
      <c r="E87" s="4" t="s">
        <v>400</v>
      </c>
      <c r="F87">
        <v>4</v>
      </c>
      <c r="G87">
        <v>41137</v>
      </c>
      <c r="H87">
        <v>164548</v>
      </c>
      <c r="I87">
        <v>3</v>
      </c>
      <c r="J87" s="4" t="s">
        <v>330</v>
      </c>
      <c r="K87" s="4" t="s">
        <v>17</v>
      </c>
    </row>
    <row r="88" spans="1:11">
      <c r="A88" s="4" t="s">
        <v>331</v>
      </c>
      <c r="B88" s="5">
        <v>45425</v>
      </c>
      <c r="C88" s="4" t="s">
        <v>492</v>
      </c>
      <c r="D88" s="4" t="s">
        <v>410</v>
      </c>
      <c r="E88" s="4" t="s">
        <v>407</v>
      </c>
      <c r="F88">
        <v>2</v>
      </c>
      <c r="G88">
        <v>28303</v>
      </c>
      <c r="H88">
        <v>56606</v>
      </c>
      <c r="I88">
        <v>5</v>
      </c>
      <c r="J88" s="4" t="s">
        <v>334</v>
      </c>
      <c r="K88" s="4" t="s">
        <v>17</v>
      </c>
    </row>
    <row r="89" spans="1:11">
      <c r="A89" s="4" t="s">
        <v>335</v>
      </c>
      <c r="B89" s="5">
        <v>45402</v>
      </c>
      <c r="C89" s="4" t="s">
        <v>493</v>
      </c>
      <c r="D89" s="4" t="s">
        <v>403</v>
      </c>
      <c r="E89" s="4" t="s">
        <v>400</v>
      </c>
      <c r="F89">
        <v>3</v>
      </c>
      <c r="G89">
        <v>31681</v>
      </c>
      <c r="H89">
        <v>95043</v>
      </c>
      <c r="I89">
        <v>5</v>
      </c>
      <c r="J89" s="4" t="s">
        <v>336</v>
      </c>
      <c r="K89" s="4" t="s">
        <v>33</v>
      </c>
    </row>
    <row r="90" spans="1:11">
      <c r="A90" s="4" t="s">
        <v>337</v>
      </c>
      <c r="B90" s="5">
        <v>45697</v>
      </c>
      <c r="C90" s="4" t="s">
        <v>494</v>
      </c>
      <c r="D90" s="4" t="s">
        <v>414</v>
      </c>
      <c r="E90" s="4" t="s">
        <v>407</v>
      </c>
      <c r="F90">
        <v>2</v>
      </c>
      <c r="G90">
        <v>14080</v>
      </c>
      <c r="H90">
        <v>28160</v>
      </c>
      <c r="I90">
        <v>5</v>
      </c>
      <c r="J90" s="4" t="s">
        <v>339</v>
      </c>
      <c r="K90" s="4" t="s">
        <v>17</v>
      </c>
    </row>
    <row r="91" spans="1:11">
      <c r="A91" s="4" t="s">
        <v>340</v>
      </c>
      <c r="B91" s="5">
        <v>45661</v>
      </c>
      <c r="C91" s="4" t="s">
        <v>495</v>
      </c>
      <c r="D91" s="4" t="s">
        <v>403</v>
      </c>
      <c r="E91" s="4" t="s">
        <v>400</v>
      </c>
      <c r="F91">
        <v>1</v>
      </c>
      <c r="G91">
        <v>7703</v>
      </c>
      <c r="H91">
        <v>7703</v>
      </c>
      <c r="I91">
        <v>3</v>
      </c>
      <c r="J91" s="4" t="s">
        <v>342</v>
      </c>
      <c r="K91" s="4" t="s">
        <v>33</v>
      </c>
    </row>
    <row r="92" spans="1:11">
      <c r="A92" s="4" t="s">
        <v>343</v>
      </c>
      <c r="B92" s="5">
        <v>45392</v>
      </c>
      <c r="C92" s="4" t="s">
        <v>496</v>
      </c>
      <c r="D92" s="4" t="s">
        <v>414</v>
      </c>
      <c r="E92" s="4" t="s">
        <v>400</v>
      </c>
      <c r="F92">
        <v>5</v>
      </c>
      <c r="G92">
        <v>48514</v>
      </c>
      <c r="H92">
        <v>242570</v>
      </c>
      <c r="I92">
        <v>4</v>
      </c>
      <c r="J92" s="4" t="s">
        <v>346</v>
      </c>
      <c r="K92" s="4" t="s">
        <v>27</v>
      </c>
    </row>
    <row r="93" spans="1:11">
      <c r="A93" s="4" t="s">
        <v>389</v>
      </c>
      <c r="B93" s="5">
        <v>45471</v>
      </c>
      <c r="C93" s="4" t="s">
        <v>497</v>
      </c>
      <c r="D93" s="4" t="s">
        <v>414</v>
      </c>
      <c r="E93" s="4" t="s">
        <v>407</v>
      </c>
      <c r="F93">
        <v>1</v>
      </c>
      <c r="G93">
        <v>49914</v>
      </c>
      <c r="H93">
        <v>49914</v>
      </c>
      <c r="I93">
        <v>2</v>
      </c>
      <c r="J93" s="4" t="s">
        <v>349</v>
      </c>
      <c r="K93" s="4" t="s">
        <v>411</v>
      </c>
    </row>
    <row r="94" spans="1:11">
      <c r="A94" s="4" t="s">
        <v>350</v>
      </c>
      <c r="B94" s="5">
        <v>45475</v>
      </c>
      <c r="C94" s="4" t="s">
        <v>498</v>
      </c>
      <c r="D94" s="4" t="s">
        <v>403</v>
      </c>
      <c r="E94" s="4" t="s">
        <v>407</v>
      </c>
      <c r="F94">
        <v>2</v>
      </c>
      <c r="G94">
        <v>19814</v>
      </c>
      <c r="H94">
        <v>39628</v>
      </c>
      <c r="I94">
        <v>5</v>
      </c>
      <c r="J94" s="4" t="s">
        <v>353</v>
      </c>
      <c r="K94" s="4" t="s">
        <v>17</v>
      </c>
    </row>
    <row r="95" spans="1:11">
      <c r="A95" s="4" t="s">
        <v>354</v>
      </c>
      <c r="B95" s="5">
        <v>45601</v>
      </c>
      <c r="C95" s="4" t="s">
        <v>499</v>
      </c>
      <c r="D95" s="4" t="s">
        <v>414</v>
      </c>
      <c r="E95" s="4" t="s">
        <v>407</v>
      </c>
      <c r="F95">
        <v>4</v>
      </c>
      <c r="G95">
        <v>30145</v>
      </c>
      <c r="H95">
        <v>120580</v>
      </c>
      <c r="I95">
        <v>5</v>
      </c>
      <c r="J95" s="4" t="s">
        <v>357</v>
      </c>
      <c r="K95" s="4" t="s">
        <v>17</v>
      </c>
    </row>
    <row r="96" spans="1:11">
      <c r="A96" s="4" t="s">
        <v>358</v>
      </c>
      <c r="B96" s="5">
        <v>45459</v>
      </c>
      <c r="C96" s="4" t="s">
        <v>500</v>
      </c>
      <c r="D96" s="4" t="s">
        <v>410</v>
      </c>
      <c r="E96" s="4" t="s">
        <v>400</v>
      </c>
      <c r="F96">
        <v>1</v>
      </c>
      <c r="G96">
        <v>22172</v>
      </c>
      <c r="H96">
        <v>22172</v>
      </c>
      <c r="I96">
        <v>5</v>
      </c>
      <c r="J96" s="4" t="s">
        <v>359</v>
      </c>
      <c r="K96" s="4" t="s">
        <v>17</v>
      </c>
    </row>
    <row r="97" spans="1:11">
      <c r="A97" s="4" t="s">
        <v>360</v>
      </c>
      <c r="B97" s="5">
        <v>45418</v>
      </c>
      <c r="C97" s="4" t="s">
        <v>501</v>
      </c>
      <c r="D97" s="4" t="s">
        <v>399</v>
      </c>
      <c r="E97" s="4" t="s">
        <v>400</v>
      </c>
      <c r="F97">
        <v>3</v>
      </c>
      <c r="G97">
        <v>9601</v>
      </c>
      <c r="H97">
        <v>28803</v>
      </c>
      <c r="I97">
        <v>1</v>
      </c>
      <c r="J97" s="4" t="s">
        <v>362</v>
      </c>
      <c r="K97" s="4" t="s">
        <v>33</v>
      </c>
    </row>
    <row r="98" spans="1:11">
      <c r="A98" s="4" t="s">
        <v>390</v>
      </c>
      <c r="B98" s="5">
        <v>45423</v>
      </c>
      <c r="C98" s="4" t="s">
        <v>502</v>
      </c>
      <c r="D98" s="4" t="s">
        <v>399</v>
      </c>
      <c r="E98" s="4" t="s">
        <v>407</v>
      </c>
      <c r="F98">
        <v>1</v>
      </c>
      <c r="G98">
        <v>8676</v>
      </c>
      <c r="H98">
        <v>8676</v>
      </c>
      <c r="I98">
        <v>5</v>
      </c>
      <c r="J98" s="4" t="s">
        <v>364</v>
      </c>
      <c r="K98" s="4" t="s">
        <v>411</v>
      </c>
    </row>
    <row r="99" spans="1:11">
      <c r="A99" s="4" t="s">
        <v>365</v>
      </c>
      <c r="B99" s="5">
        <v>45531</v>
      </c>
      <c r="C99" s="4" t="s">
        <v>503</v>
      </c>
      <c r="D99" s="4" t="s">
        <v>399</v>
      </c>
      <c r="E99" s="4" t="s">
        <v>407</v>
      </c>
      <c r="F99">
        <v>3</v>
      </c>
      <c r="G99">
        <v>14540</v>
      </c>
      <c r="H99">
        <v>43620</v>
      </c>
      <c r="I99">
        <v>5</v>
      </c>
      <c r="J99" s="4" t="s">
        <v>368</v>
      </c>
      <c r="K99" s="4" t="s">
        <v>17</v>
      </c>
    </row>
    <row r="100" spans="1:11">
      <c r="A100" s="4" t="s">
        <v>369</v>
      </c>
      <c r="B100" s="5">
        <v>45402</v>
      </c>
      <c r="C100" s="4" t="s">
        <v>504</v>
      </c>
      <c r="D100" s="4" t="s">
        <v>414</v>
      </c>
      <c r="E100" s="4" t="s">
        <v>400</v>
      </c>
      <c r="F100">
        <v>4</v>
      </c>
      <c r="G100">
        <v>37261</v>
      </c>
      <c r="H100">
        <v>149044</v>
      </c>
      <c r="I100">
        <v>5</v>
      </c>
      <c r="J100" s="4" t="s">
        <v>372</v>
      </c>
      <c r="K100" s="4" t="s">
        <v>27</v>
      </c>
    </row>
    <row r="101" spans="1:11">
      <c r="A101" s="4" t="s">
        <v>391</v>
      </c>
      <c r="B101" s="5">
        <v>45595</v>
      </c>
      <c r="C101" s="4" t="s">
        <v>505</v>
      </c>
      <c r="D101" s="4" t="s">
        <v>414</v>
      </c>
      <c r="E101" s="4" t="s">
        <v>407</v>
      </c>
      <c r="F101">
        <v>4</v>
      </c>
      <c r="G101">
        <v>27020</v>
      </c>
      <c r="H101">
        <v>108080</v>
      </c>
      <c r="I101">
        <v>5</v>
      </c>
      <c r="J101" s="4" t="s">
        <v>374</v>
      </c>
      <c r="K101" s="4" t="s">
        <v>411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5B4AE-2C86-461B-BE08-A923EE3A1096}">
  <dimension ref="A2:V20"/>
  <sheetViews>
    <sheetView zoomScale="80" zoomScaleNormal="85" workbookViewId="0">
      <selection activeCell="G19" sqref="G19"/>
    </sheetView>
  </sheetViews>
  <sheetFormatPr defaultRowHeight="24"/>
  <cols>
    <col min="1" max="1" width="14.69921875" bestFit="1" customWidth="1"/>
    <col min="2" max="2" width="20" bestFit="1" customWidth="1"/>
    <col min="4" max="4" width="14.69921875" bestFit="1" customWidth="1"/>
    <col min="5" max="5" width="20" bestFit="1" customWidth="1"/>
    <col min="7" max="7" width="14.69921875" bestFit="1" customWidth="1"/>
    <col min="8" max="8" width="20" bestFit="1" customWidth="1"/>
    <col min="10" max="10" width="14.59765625" bestFit="1" customWidth="1"/>
    <col min="11" max="11" width="17.3984375" bestFit="1" customWidth="1"/>
    <col min="13" max="13" width="19.3984375" bestFit="1" customWidth="1"/>
    <col min="14" max="14" width="13.59765625" bestFit="1" customWidth="1"/>
    <col min="16" max="16" width="14.69921875" bestFit="1" customWidth="1"/>
    <col min="17" max="17" width="16.69921875" bestFit="1" customWidth="1"/>
    <col min="18" max="18" width="11.69921875" bestFit="1" customWidth="1"/>
    <col min="19" max="19" width="11.796875" bestFit="1" customWidth="1"/>
    <col min="21" max="21" width="14.59765625" bestFit="1" customWidth="1"/>
    <col min="22" max="22" width="21.19921875" bestFit="1" customWidth="1"/>
    <col min="23" max="23" width="11.5" bestFit="1" customWidth="1"/>
    <col min="24" max="24" width="10.796875" bestFit="1" customWidth="1"/>
    <col min="25" max="25" width="4.19921875" bestFit="1" customWidth="1"/>
    <col min="26" max="26" width="11.796875" bestFit="1" customWidth="1"/>
  </cols>
  <sheetData>
    <row r="2" spans="1:22">
      <c r="A2" s="14" t="s">
        <v>521</v>
      </c>
      <c r="D2" s="14" t="s">
        <v>522</v>
      </c>
      <c r="G2" s="14" t="s">
        <v>524</v>
      </c>
      <c r="J2" s="14" t="s">
        <v>526</v>
      </c>
      <c r="M2" s="14" t="s">
        <v>525</v>
      </c>
      <c r="P2" s="14" t="s">
        <v>527</v>
      </c>
    </row>
    <row r="3" spans="1:22">
      <c r="A3" s="6" t="s">
        <v>506</v>
      </c>
      <c r="B3" t="s">
        <v>509</v>
      </c>
      <c r="D3" s="6" t="s">
        <v>506</v>
      </c>
      <c r="E3" t="s">
        <v>509</v>
      </c>
      <c r="G3" s="6" t="s">
        <v>506</v>
      </c>
      <c r="H3" t="s">
        <v>509</v>
      </c>
      <c r="J3" s="6" t="s">
        <v>506</v>
      </c>
      <c r="K3" t="s">
        <v>510</v>
      </c>
      <c r="M3" s="6" t="s">
        <v>506</v>
      </c>
      <c r="N3" t="s">
        <v>511</v>
      </c>
      <c r="P3" s="6" t="s">
        <v>506</v>
      </c>
      <c r="Q3" t="s">
        <v>508</v>
      </c>
      <c r="U3" s="6" t="s">
        <v>506</v>
      </c>
      <c r="V3" t="s">
        <v>512</v>
      </c>
    </row>
    <row r="4" spans="1:22">
      <c r="A4" s="2" t="s">
        <v>407</v>
      </c>
      <c r="B4" s="4">
        <v>3340471</v>
      </c>
      <c r="D4" s="2" t="s">
        <v>403</v>
      </c>
      <c r="E4" s="4">
        <v>2494315</v>
      </c>
      <c r="G4" s="2" t="s">
        <v>550</v>
      </c>
      <c r="H4" s="4">
        <v>509606</v>
      </c>
      <c r="J4" s="2">
        <v>1</v>
      </c>
      <c r="K4" s="4">
        <v>8</v>
      </c>
      <c r="M4" s="2" t="s">
        <v>346</v>
      </c>
      <c r="N4" s="4">
        <v>242570</v>
      </c>
      <c r="P4" s="2" t="s">
        <v>403</v>
      </c>
      <c r="Q4" s="4">
        <v>77</v>
      </c>
      <c r="U4" s="2" t="s">
        <v>411</v>
      </c>
      <c r="V4" s="4">
        <v>20</v>
      </c>
    </row>
    <row r="5" spans="1:22">
      <c r="A5" s="2" t="s">
        <v>400</v>
      </c>
      <c r="B5" s="4">
        <v>5794395</v>
      </c>
      <c r="D5" s="2" t="s">
        <v>399</v>
      </c>
      <c r="E5" s="4">
        <v>2183136</v>
      </c>
      <c r="G5" s="2" t="s">
        <v>551</v>
      </c>
      <c r="H5" s="4">
        <v>759815</v>
      </c>
      <c r="J5" s="2">
        <v>2</v>
      </c>
      <c r="K5" s="4">
        <v>15</v>
      </c>
      <c r="M5" s="2" t="s">
        <v>167</v>
      </c>
      <c r="N5" s="4">
        <v>237440</v>
      </c>
      <c r="P5" s="2" t="s">
        <v>399</v>
      </c>
      <c r="Q5" s="4">
        <v>76</v>
      </c>
      <c r="U5" s="2" t="s">
        <v>33</v>
      </c>
      <c r="V5" s="4">
        <v>24</v>
      </c>
    </row>
    <row r="6" spans="1:22">
      <c r="A6" s="2" t="s">
        <v>507</v>
      </c>
      <c r="B6" s="4">
        <v>9134866</v>
      </c>
      <c r="D6" s="2" t="s">
        <v>410</v>
      </c>
      <c r="E6" s="4">
        <v>1568912</v>
      </c>
      <c r="G6" s="2" t="s">
        <v>552</v>
      </c>
      <c r="H6" s="4">
        <v>1330625</v>
      </c>
      <c r="J6" s="2">
        <v>3</v>
      </c>
      <c r="K6" s="4">
        <v>12</v>
      </c>
      <c r="M6" s="2" t="s">
        <v>185</v>
      </c>
      <c r="N6" s="4">
        <v>223715</v>
      </c>
      <c r="P6" s="2" t="s">
        <v>410</v>
      </c>
      <c r="Q6" s="4">
        <v>59</v>
      </c>
      <c r="U6" s="2" t="s">
        <v>27</v>
      </c>
      <c r="V6" s="4">
        <v>26</v>
      </c>
    </row>
    <row r="7" spans="1:22">
      <c r="D7" s="2" t="s">
        <v>405</v>
      </c>
      <c r="E7" s="4">
        <v>1139614</v>
      </c>
      <c r="G7" s="2" t="s">
        <v>553</v>
      </c>
      <c r="H7" s="4">
        <v>990094</v>
      </c>
      <c r="J7" s="2">
        <v>4</v>
      </c>
      <c r="K7" s="4">
        <v>17</v>
      </c>
      <c r="M7" s="2" t="s">
        <v>46</v>
      </c>
      <c r="N7" s="4">
        <v>222620</v>
      </c>
      <c r="P7" s="2" t="s">
        <v>405</v>
      </c>
      <c r="Q7" s="4">
        <v>45</v>
      </c>
      <c r="U7" s="2" t="s">
        <v>17</v>
      </c>
      <c r="V7" s="4">
        <v>30</v>
      </c>
    </row>
    <row r="8" spans="1:22">
      <c r="B8" s="10" t="s">
        <v>513</v>
      </c>
      <c r="D8" s="2" t="s">
        <v>414</v>
      </c>
      <c r="E8" s="4">
        <v>1748889</v>
      </c>
      <c r="G8" s="2" t="s">
        <v>554</v>
      </c>
      <c r="H8" s="4">
        <v>883549</v>
      </c>
      <c r="J8" s="2">
        <v>5</v>
      </c>
      <c r="K8" s="4">
        <v>48</v>
      </c>
      <c r="M8" s="2" t="s">
        <v>88</v>
      </c>
      <c r="N8" s="4">
        <v>211255</v>
      </c>
      <c r="P8" s="2" t="s">
        <v>414</v>
      </c>
      <c r="Q8" s="4">
        <v>51</v>
      </c>
      <c r="U8" s="2" t="s">
        <v>507</v>
      </c>
      <c r="V8" s="4">
        <v>100</v>
      </c>
    </row>
    <row r="9" spans="1:22">
      <c r="B9" s="9">
        <f>SUM(Table1_1[Total Sales])</f>
        <v>9134866</v>
      </c>
      <c r="D9" s="2" t="s">
        <v>507</v>
      </c>
      <c r="E9" s="4">
        <v>9134866</v>
      </c>
      <c r="G9" s="2" t="s">
        <v>555</v>
      </c>
      <c r="H9" s="4">
        <v>521527</v>
      </c>
      <c r="J9" s="2" t="s">
        <v>507</v>
      </c>
      <c r="K9" s="4">
        <v>100</v>
      </c>
      <c r="M9" s="2" t="s">
        <v>121</v>
      </c>
      <c r="N9" s="4">
        <v>205080</v>
      </c>
      <c r="P9" s="2" t="s">
        <v>507</v>
      </c>
      <c r="Q9" s="4">
        <v>308</v>
      </c>
    </row>
    <row r="10" spans="1:22">
      <c r="G10" s="2" t="s">
        <v>556</v>
      </c>
      <c r="H10" s="4">
        <v>491703</v>
      </c>
      <c r="M10" s="2" t="s">
        <v>111</v>
      </c>
      <c r="N10" s="4">
        <v>203980</v>
      </c>
    </row>
    <row r="11" spans="1:22">
      <c r="B11" s="10" t="s">
        <v>514</v>
      </c>
      <c r="F11" s="14" t="s">
        <v>519</v>
      </c>
      <c r="G11" s="2" t="s">
        <v>557</v>
      </c>
      <c r="H11" s="4">
        <v>1001031</v>
      </c>
      <c r="M11" s="2" t="s">
        <v>84</v>
      </c>
      <c r="N11" s="4">
        <v>198640</v>
      </c>
    </row>
    <row r="12" spans="1:22">
      <c r="B12" s="9">
        <f>SUM(Table1_1[Quantity])</f>
        <v>308</v>
      </c>
      <c r="D12" t="s">
        <v>517</v>
      </c>
      <c r="F12">
        <f>AVERAGE(Table1_1[Ratings])</f>
        <v>3.82</v>
      </c>
      <c r="G12" s="2" t="s">
        <v>558</v>
      </c>
      <c r="H12" s="4">
        <v>593698</v>
      </c>
      <c r="M12" s="2" t="s">
        <v>77</v>
      </c>
      <c r="N12" s="4">
        <v>192884</v>
      </c>
    </row>
    <row r="13" spans="1:22">
      <c r="D13" s="7">
        <f>B9/B12</f>
        <v>29658.655844155845</v>
      </c>
      <c r="G13" s="2" t="s">
        <v>559</v>
      </c>
      <c r="H13" s="4">
        <v>596425</v>
      </c>
      <c r="M13" s="2" t="s">
        <v>109</v>
      </c>
      <c r="N13" s="4">
        <v>192420</v>
      </c>
    </row>
    <row r="14" spans="1:22">
      <c r="D14" s="14" t="s">
        <v>523</v>
      </c>
      <c r="G14" s="2" t="s">
        <v>560</v>
      </c>
      <c r="H14" s="4">
        <v>977905</v>
      </c>
      <c r="M14" s="2" t="s">
        <v>507</v>
      </c>
      <c r="N14" s="4">
        <v>2130604</v>
      </c>
    </row>
    <row r="15" spans="1:22">
      <c r="D15" s="6" t="s">
        <v>506</v>
      </c>
      <c r="E15" t="s">
        <v>509</v>
      </c>
      <c r="G15" s="2" t="s">
        <v>561</v>
      </c>
      <c r="H15" s="4">
        <v>478888</v>
      </c>
    </row>
    <row r="16" spans="1:22">
      <c r="B16" t="s">
        <v>519</v>
      </c>
      <c r="D16" s="2" t="s">
        <v>411</v>
      </c>
      <c r="E16" s="4">
        <v>2191223</v>
      </c>
      <c r="G16" s="2" t="s">
        <v>507</v>
      </c>
      <c r="H16" s="4">
        <v>9134866</v>
      </c>
    </row>
    <row r="17" spans="2:5">
      <c r="B17">
        <f>AVERAGE(Table1_1[Ratings])</f>
        <v>3.82</v>
      </c>
      <c r="D17" s="2" t="s">
        <v>33</v>
      </c>
      <c r="E17" s="4">
        <v>1878962</v>
      </c>
    </row>
    <row r="18" spans="2:5">
      <c r="D18" s="2" t="s">
        <v>27</v>
      </c>
      <c r="E18" s="4">
        <v>2525274</v>
      </c>
    </row>
    <row r="19" spans="2:5">
      <c r="D19" s="2" t="s">
        <v>17</v>
      </c>
      <c r="E19" s="4">
        <v>2539407</v>
      </c>
    </row>
    <row r="20" spans="2:5">
      <c r="D20" s="2" t="s">
        <v>507</v>
      </c>
      <c r="E20" s="4">
        <v>9134866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1B20E-6E11-49CD-8AE6-330656482519}">
  <dimension ref="A1:V11"/>
  <sheetViews>
    <sheetView tabSelected="1" zoomScale="96" workbookViewId="0">
      <selection activeCell="Z18" sqref="Z18"/>
    </sheetView>
  </sheetViews>
  <sheetFormatPr defaultRowHeight="24"/>
  <cols>
    <col min="1" max="3" width="8.796875" style="8"/>
    <col min="4" max="4" width="10.5" style="8" customWidth="1"/>
    <col min="5" max="16384" width="8.796875" style="8"/>
  </cols>
  <sheetData>
    <row r="1" spans="1:22">
      <c r="A1" s="24" t="s">
        <v>562</v>
      </c>
      <c r="B1" s="24"/>
      <c r="C1" s="24"/>
      <c r="D1" s="24"/>
      <c r="E1" s="24"/>
      <c r="F1" s="24"/>
      <c r="G1" s="24"/>
      <c r="H1" s="24"/>
      <c r="I1" s="24"/>
      <c r="J1" s="24"/>
      <c r="K1" s="24"/>
      <c r="L1" s="24"/>
      <c r="M1" s="24"/>
      <c r="N1" s="24"/>
      <c r="O1" s="24"/>
      <c r="P1" s="24"/>
      <c r="Q1" s="24"/>
      <c r="R1" s="24"/>
      <c r="S1" s="24"/>
      <c r="T1" s="24"/>
      <c r="U1" s="24"/>
      <c r="V1" s="24"/>
    </row>
    <row r="2" spans="1:22">
      <c r="A2" s="24"/>
      <c r="B2" s="24"/>
      <c r="C2" s="24"/>
      <c r="D2" s="24"/>
      <c r="E2" s="24"/>
      <c r="F2" s="24"/>
      <c r="G2" s="24"/>
      <c r="H2" s="24"/>
      <c r="I2" s="24"/>
      <c r="J2" s="24"/>
      <c r="K2" s="24"/>
      <c r="L2" s="24"/>
      <c r="M2" s="24"/>
      <c r="N2" s="24"/>
      <c r="O2" s="24"/>
      <c r="P2" s="24"/>
      <c r="Q2" s="24"/>
      <c r="R2" s="24"/>
      <c r="S2" s="24"/>
      <c r="T2" s="24"/>
      <c r="U2" s="24"/>
      <c r="V2" s="24"/>
    </row>
    <row r="4" spans="1:22">
      <c r="D4" s="20"/>
      <c r="E4" s="20"/>
      <c r="F4" s="21"/>
      <c r="G4" s="21"/>
      <c r="H4" s="21"/>
      <c r="I4" s="21"/>
      <c r="J4" s="21"/>
      <c r="K4" s="21"/>
      <c r="M4" s="21"/>
      <c r="N4" s="21"/>
      <c r="O4" s="21"/>
    </row>
    <row r="5" spans="1:22">
      <c r="D5" s="19"/>
      <c r="E5" s="19"/>
      <c r="F5" s="18"/>
      <c r="G5" s="18"/>
      <c r="H5" s="18"/>
      <c r="I5" s="22"/>
    </row>
    <row r="6" spans="1:22">
      <c r="D6" s="11"/>
      <c r="E6" s="11"/>
    </row>
    <row r="8" spans="1:22">
      <c r="R8" s="20"/>
    </row>
    <row r="9" spans="1:22">
      <c r="R9" s="19"/>
    </row>
    <row r="11" spans="1:22">
      <c r="I11" s="23"/>
    </row>
  </sheetData>
  <mergeCells count="1">
    <mergeCell ref="A1:V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1D0F6-FFC5-46FC-8B93-6B889D0B6A69}">
  <dimension ref="C1:E61"/>
  <sheetViews>
    <sheetView topLeftCell="A36" workbookViewId="0">
      <selection activeCell="E27" sqref="E27"/>
    </sheetView>
  </sheetViews>
  <sheetFormatPr defaultRowHeight="24"/>
  <sheetData>
    <row r="1" spans="3:5" ht="34.200000000000003">
      <c r="C1" s="17" t="s">
        <v>549</v>
      </c>
      <c r="D1" s="17"/>
      <c r="E1" s="17"/>
    </row>
    <row r="3" spans="3:5" ht="29.4">
      <c r="C3" s="13" t="s">
        <v>515</v>
      </c>
    </row>
    <row r="4" spans="3:5">
      <c r="C4" s="14"/>
    </row>
    <row r="5" spans="3:5">
      <c r="C5" s="14" t="s">
        <v>7</v>
      </c>
    </row>
    <row r="6" spans="3:5">
      <c r="C6" s="14" t="s">
        <v>516</v>
      </c>
    </row>
    <row r="7" spans="3:5">
      <c r="C7" s="14" t="s">
        <v>517</v>
      </c>
    </row>
    <row r="8" spans="3:5">
      <c r="C8" s="14" t="s">
        <v>518</v>
      </c>
    </row>
    <row r="9" spans="3:5">
      <c r="C9" s="14" t="s">
        <v>519</v>
      </c>
    </row>
    <row r="11" spans="3:5" ht="29.4">
      <c r="C11" s="13" t="s">
        <v>520</v>
      </c>
    </row>
    <row r="12" spans="3:5">
      <c r="C12" s="14"/>
    </row>
    <row r="13" spans="3:5">
      <c r="C13" s="14" t="s">
        <v>521</v>
      </c>
    </row>
    <row r="14" spans="3:5">
      <c r="C14" s="14" t="s">
        <v>522</v>
      </c>
    </row>
    <row r="15" spans="3:5">
      <c r="C15" s="14" t="s">
        <v>523</v>
      </c>
    </row>
    <row r="16" spans="3:5">
      <c r="C16" s="14" t="s">
        <v>524</v>
      </c>
    </row>
    <row r="17" spans="3:3">
      <c r="C17" s="14" t="s">
        <v>525</v>
      </c>
    </row>
    <row r="18" spans="3:3">
      <c r="C18" s="14" t="s">
        <v>526</v>
      </c>
    </row>
    <row r="19" spans="3:3">
      <c r="C19" s="14" t="s">
        <v>527</v>
      </c>
    </row>
    <row r="20" spans="3:3">
      <c r="C20" s="14" t="s">
        <v>528</v>
      </c>
    </row>
    <row r="22" spans="3:3" ht="29.4">
      <c r="C22" s="13" t="s">
        <v>529</v>
      </c>
    </row>
    <row r="23" spans="3:3">
      <c r="C23" s="14"/>
    </row>
    <row r="24" spans="3:3">
      <c r="C24" s="14" t="s">
        <v>1</v>
      </c>
    </row>
    <row r="25" spans="3:3">
      <c r="C25" s="14" t="s">
        <v>396</v>
      </c>
    </row>
    <row r="26" spans="3:3">
      <c r="C26" s="14" t="s">
        <v>530</v>
      </c>
    </row>
    <row r="27" spans="3:3">
      <c r="C27" s="14" t="s">
        <v>531</v>
      </c>
    </row>
    <row r="28" spans="3:3">
      <c r="C28" s="14" t="s">
        <v>9</v>
      </c>
    </row>
    <row r="30" spans="3:3" ht="29.4">
      <c r="C30" s="13" t="s">
        <v>532</v>
      </c>
    </row>
    <row r="31" spans="3:3">
      <c r="C31" s="14"/>
    </row>
    <row r="32" spans="3:3">
      <c r="C32" s="15" t="s">
        <v>533</v>
      </c>
    </row>
    <row r="33" spans="3:3">
      <c r="C33" s="15" t="s">
        <v>534</v>
      </c>
    </row>
    <row r="34" spans="3:3">
      <c r="C34" s="15" t="s">
        <v>535</v>
      </c>
    </row>
    <row r="35" spans="3:3">
      <c r="C35" s="15" t="s">
        <v>536</v>
      </c>
    </row>
    <row r="36" spans="3:3">
      <c r="C36" s="15" t="s">
        <v>537</v>
      </c>
    </row>
    <row r="37" spans="3:3">
      <c r="C37" s="15" t="s">
        <v>538</v>
      </c>
    </row>
    <row r="38" spans="3:3">
      <c r="C38" s="15" t="s">
        <v>539</v>
      </c>
    </row>
    <row r="39" spans="3:3">
      <c r="C39" s="15" t="s">
        <v>540</v>
      </c>
    </row>
    <row r="40" spans="3:3">
      <c r="C40" s="15" t="s">
        <v>541</v>
      </c>
    </row>
    <row r="42" spans="3:3" ht="29.4">
      <c r="C42" s="13" t="s">
        <v>542</v>
      </c>
    </row>
    <row r="43" spans="3:3">
      <c r="C43" s="14"/>
    </row>
    <row r="44" spans="3:3">
      <c r="C44" s="14" t="s">
        <v>543</v>
      </c>
    </row>
    <row r="45" spans="3:3">
      <c r="C45" s="14" t="s">
        <v>544</v>
      </c>
    </row>
    <row r="46" spans="3:3">
      <c r="C46" s="14" t="s">
        <v>545</v>
      </c>
    </row>
    <row r="47" spans="3:3">
      <c r="C47" s="14" t="s">
        <v>546</v>
      </c>
    </row>
    <row r="48" spans="3:3">
      <c r="C48" s="14" t="s">
        <v>547</v>
      </c>
    </row>
    <row r="49" spans="3:3">
      <c r="C49" s="14" t="s">
        <v>548</v>
      </c>
    </row>
    <row r="51" spans="3:3" ht="29.4">
      <c r="C51" s="13"/>
    </row>
    <row r="52" spans="3:3">
      <c r="C52" s="12"/>
    </row>
    <row r="53" spans="3:3">
      <c r="C53" s="16"/>
    </row>
    <row r="54" spans="3:3">
      <c r="C54" s="12"/>
    </row>
    <row r="55" spans="3:3">
      <c r="C55" s="16"/>
    </row>
    <row r="56" spans="3:3">
      <c r="C56" s="12"/>
    </row>
    <row r="57" spans="3:3">
      <c r="C57" s="16"/>
    </row>
    <row r="58" spans="3:3">
      <c r="C58" s="12"/>
    </row>
    <row r="59" spans="3:3">
      <c r="C59" s="16"/>
    </row>
    <row r="60" spans="3:3">
      <c r="C60" s="12"/>
    </row>
    <row r="61" spans="3:3">
      <c r="C61" s="16"/>
    </row>
  </sheetData>
  <mergeCells count="1">
    <mergeCell ref="C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117382-4874-4816-8DF8-A9B41B79B5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 Data</vt:lpstr>
      <vt:lpstr>Pivots</vt:lpstr>
      <vt:lpstr>Dashboard</vt:lpstr>
      <vt:lpstr>Queries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kailash mawari</cp:lastModifiedBy>
  <dcterms:created xsi:type="dcterms:W3CDTF">2025-03-21T09:38:45Z</dcterms:created>
  <dcterms:modified xsi:type="dcterms:W3CDTF">2026-07-13T17:21:12Z</dcterms:modified>
</cp:coreProperties>
</file>